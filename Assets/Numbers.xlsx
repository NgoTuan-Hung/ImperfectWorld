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codeName="ThisWorkbook"/>
  <mc:AlternateContent xmlns:mc="http://schemas.openxmlformats.org/markup-compatibility/2006">
    <mc:Choice Requires="x15">
      <x15ac:absPath xmlns:x15ac="http://schemas.microsoft.com/office/spreadsheetml/2010/11/ac" url="D:\Program\unity\Project\LastDevotion\Assets\"/>
    </mc:Choice>
  </mc:AlternateContent>
  <xr:revisionPtr revIDLastSave="0" documentId="13_ncr:1_{608A8A15-058C-4A7E-866E-631B0E61A2AF}" xr6:coauthVersionLast="47" xr6:coauthVersionMax="47" xr10:uidLastSave="{00000000-0000-0000-0000-000000000000}"/>
  <bookViews>
    <workbookView xWindow="-108" yWindow="-108" windowWidth="23256" windowHeight="12456" activeTab="3" xr2:uid="{00000000-000D-0000-FFFF-FFFF00000000}"/>
  </bookViews>
  <sheets>
    <sheet name="CHAMPION" sheetId="1" r:id="rId1"/>
    <sheet name="STAT" sheetId="2" r:id="rId2"/>
    <sheet name="EXPERIMENT" sheetId="3" r:id="rId3"/>
    <sheet name="ITEM" sheetId="4" r:id="rId4"/>
    <sheet name="RELIC" sheetId="5"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 i="4" l="1"/>
  <c r="E4" i="4"/>
  <c r="E5" i="4"/>
  <c r="E6" i="4"/>
  <c r="E7" i="4"/>
  <c r="E8" i="4"/>
  <c r="E9" i="4"/>
  <c r="E10" i="4"/>
  <c r="E11" i="4"/>
  <c r="E12" i="4"/>
  <c r="E13" i="4"/>
  <c r="E14" i="4"/>
  <c r="E15" i="4"/>
  <c r="E16" i="4"/>
  <c r="E17" i="4"/>
  <c r="E18" i="4"/>
  <c r="E19" i="4"/>
  <c r="E20" i="4"/>
  <c r="E21" i="4"/>
  <c r="E22" i="4"/>
  <c r="E23" i="4"/>
  <c r="E24" i="4"/>
  <c r="E25" i="4"/>
  <c r="E26" i="4"/>
  <c r="E27" i="4"/>
  <c r="E28" i="4"/>
  <c r="E29" i="4"/>
  <c r="E30" i="4"/>
  <c r="E31" i="4"/>
  <c r="E32" i="4"/>
  <c r="E33" i="4"/>
  <c r="E34" i="4"/>
  <c r="E35" i="4"/>
  <c r="E36" i="4"/>
  <c r="E37" i="4"/>
  <c r="E38" i="4"/>
  <c r="E39" i="4"/>
  <c r="E40" i="4"/>
  <c r="E41" i="4"/>
  <c r="E42" i="4"/>
  <c r="E43" i="4"/>
  <c r="E44" i="4"/>
  <c r="E45" i="4"/>
  <c r="E46" i="4"/>
  <c r="E47" i="4"/>
  <c r="E48" i="4"/>
  <c r="E49" i="4"/>
  <c r="E50" i="4"/>
  <c r="E51" i="4"/>
  <c r="E52" i="4"/>
  <c r="E53" i="4"/>
  <c r="E54" i="4"/>
  <c r="E55" i="4"/>
  <c r="E56" i="4"/>
  <c r="E57" i="4"/>
  <c r="E58" i="4"/>
  <c r="E59" i="4"/>
  <c r="E60" i="4"/>
  <c r="E61" i="4"/>
  <c r="E62" i="4"/>
  <c r="E63" i="4"/>
  <c r="E64" i="4"/>
  <c r="E65" i="4"/>
  <c r="E66" i="4"/>
  <c r="E2" i="4"/>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46">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bk>
      <extLst>
        <ext uri="{3e2802c4-a4d2-4d8b-9148-e3be6c30e623}">
          <xlrd:rvb i="44"/>
        </ext>
      </extLst>
    </bk>
    <bk>
      <extLst>
        <ext uri="{3e2802c4-a4d2-4d8b-9148-e3be6c30e623}">
          <xlrd:rvb i="45"/>
        </ext>
      </extLst>
    </bk>
  </futureMetadata>
  <valueMetadata count="46">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bk>
      <rc t="1" v="24"/>
    </bk>
    <bk>
      <rc t="1" v="25"/>
    </bk>
    <bk>
      <rc t="1" v="26"/>
    </bk>
    <bk>
      <rc t="1" v="27"/>
    </bk>
    <bk>
      <rc t="1" v="28"/>
    </bk>
    <bk>
      <rc t="1" v="29"/>
    </bk>
    <bk>
      <rc t="1" v="30"/>
    </bk>
    <bk>
      <rc t="1" v="31"/>
    </bk>
    <bk>
      <rc t="1" v="32"/>
    </bk>
    <bk>
      <rc t="1" v="33"/>
    </bk>
    <bk>
      <rc t="1" v="34"/>
    </bk>
    <bk>
      <rc t="1" v="35"/>
    </bk>
    <bk>
      <rc t="1" v="36"/>
    </bk>
    <bk>
      <rc t="1" v="37"/>
    </bk>
    <bk>
      <rc t="1" v="38"/>
    </bk>
    <bk>
      <rc t="1" v="39"/>
    </bk>
    <bk>
      <rc t="1" v="40"/>
    </bk>
    <bk>
      <rc t="1" v="41"/>
    </bk>
    <bk>
      <rc t="1" v="42"/>
    </bk>
    <bk>
      <rc t="1" v="43"/>
    </bk>
    <bk>
      <rc t="1" v="44"/>
    </bk>
    <bk>
      <rc t="1" v="45"/>
    </bk>
  </valueMetadata>
</metadata>
</file>

<file path=xl/sharedStrings.xml><?xml version="1.0" encoding="utf-8"?>
<sst xmlns="http://schemas.openxmlformats.org/spreadsheetml/2006/main" count="229" uniqueCount="195">
  <si>
    <t>RubyRose</t>
  </si>
  <si>
    <t>Dummy</t>
  </si>
  <si>
    <t>HP</t>
  </si>
  <si>
    <t>JapaneseSamurai</t>
  </si>
  <si>
    <t>Kyojuro</t>
  </si>
  <si>
    <t>HPREGEN</t>
  </si>
  <si>
    <t>MP</t>
  </si>
  <si>
    <t>MPREGEN</t>
  </si>
  <si>
    <t>MIGHT</t>
  </si>
  <si>
    <t>REFLEX</t>
  </si>
  <si>
    <t>WISDOM</t>
  </si>
  <si>
    <t>ASPD</t>
  </si>
  <si>
    <t>ARMOR</t>
  </si>
  <si>
    <t>MSPD</t>
  </si>
  <si>
    <t>DMGMOD</t>
  </si>
  <si>
    <t>OMNIVAMP</t>
  </si>
  <si>
    <t>ATK</t>
  </si>
  <si>
    <t>CRITCHANCE</t>
  </si>
  <si>
    <t>CRITMOD</t>
  </si>
  <si>
    <t>DMGREDUC</t>
  </si>
  <si>
    <t>ATKRANGE</t>
  </si>
  <si>
    <t>Pit</t>
  </si>
  <si>
    <t>Cull step (active): Teleport to the enemy with the lowest hp and deal damage to surrounding enemies equal to 10 × reflex.</t>
  </si>
  <si>
    <t>Aquaen</t>
  </si>
  <si>
    <t>Twins of Cataclysm (Passive):
Each of her attacks has a chance to unleash one of two devastating techniques:
• Cataclysm Twin — Blade Surge: performs a triple strike on her current target, each blow dealing damage equal to its strike number × atk (5 + reflex% chance).
• Cataclysm Twin — Tidal Break: delivers a swift slash, dealing 1 × atk damage, then summons a surging wave that crashes upon the enemy, dealing 0.75 × hp damage (5 + might% chance).</t>
  </si>
  <si>
    <t>Unbroken Vigor: Drawing upon the forbidden art of her hidden clan, she consumes the mysterious unknown Fruit. Her body surges with primal energy, her movements blurring with unmatched speed. Gains (0.25 + reflex × 0.01) aspd and (0.2 + reflex × 0.01) omnivamp.</t>
  </si>
  <si>
    <t>Arkana</t>
  </si>
  <si>
    <t>Battle Tempo (passive) — Her rhythm in battle is unmatched; each strike flows seamlessly into the next. On the fourth blow, her chain sings with deadly precision, dealing bonus damage equal to 2.5 × reflex.</t>
  </si>
  <si>
    <t>Champ</t>
  </si>
  <si>
    <t>Skill</t>
  </si>
  <si>
    <t>BringerOfDeath</t>
  </si>
  <si>
    <t>Blood of the Fallen — He channels the ancient art of the fallen masters, summoning a surge of cerulean energy through his palm. The blue shockwave ripples outward, dealing (5 × might) damage to all caught in its path, then returns its life force to him, healing (0.1 × hp + 5 × might) health.</t>
  </si>
  <si>
    <t>Cole</t>
  </si>
  <si>
    <t>ElementalLeafRanger</t>
  </si>
  <si>
    <t>Silent Draw (active) — With the precision of an old master, he flicks his wrist and releases five kunai in a single, fluid motion. Each blade slices through the air toward the target direction, dealing (1.25 × reflex) damage and inflicting strike lock for 3 seconds.</t>
  </si>
  <si>
    <t>Jinsei</t>
  </si>
  <si>
    <t>Morvath</t>
  </si>
  <si>
    <t>Detonate (active): Throw a grenade at current target, dealing 6.25 × reflex damage and pushing them backward from their current facing.</t>
  </si>
  <si>
    <t>NovaKade</t>
  </si>
  <si>
    <t>BoneFlurry (Active + Passive)
Passive: After each attack, there is a (35 + might)% chance to unleash 3 bonus strikes. Each bonus strike deals [125% / 150% / 175% atk] respectively.
Active: For the next 1.5 seconds, the 3 bonus strikes are empowered, each dealing (Base Percentage + 100 + might)% atk instead.</t>
  </si>
  <si>
    <t>Ossarian</t>
  </si>
  <si>
    <t>Pact of Stillness (active)
Enter a defensive stance, fortifying his grand shield to gain 75% damage reduction for 4 s, cannot act during pact of stillness.</t>
  </si>
  <si>
    <t>OssifiedSentinel</t>
  </si>
  <si>
    <t>Guarded Vengeance (active)
Withdraws behind his hidden armor, gain 25% damage reduction for 2.75 seconds. When the armor can no longer contain the impact, it erupts outward, releasing an explosion that deals (30 + might)% of the damage absorbed to nearby enemies.</t>
  </si>
  <si>
    <t>Raiken</t>
  </si>
  <si>
    <t>Rimuru</t>
  </si>
  <si>
    <t>SamuraiArcher</t>
  </si>
  <si>
    <t>WanderMagician</t>
  </si>
  <si>
    <t>Force breaker (active)
Channels overwhelming force into a 3-hit combo — a swift flame slash, a shockwave that blasts enemies away, and a final fireball strike that scorches everything ahead. The first and last hits each deal (5.25 × reflex) damage.</t>
  </si>
  <si>
    <t>Zuko</t>
  </si>
  <si>
    <t>Rimuru combo 1 (active)
Unleashes a swift 3-hit combo on the current target, dashing toward them with each strike. Each slash deals (4.25 × reflex) damage to all enemies hit by the blade.</t>
  </si>
  <si>
    <t>Ray Of Jungle (Active): Gathering the primal energies of heaven and earth into a single arrow of pure radiance, he draws the bowstring to its limit and releases a cataclysmic beam that tears through his target, dealing 7.75 × Wisdom total damage over 0.4 seconds.</t>
  </si>
  <si>
    <t>Blade of Phong (Active): Swift as the wind itself, a single sweeping strike unleashes a slicing tornado that surges toward his foe, dealing (4.95 × Might) damage and knocking them into the air.</t>
  </si>
  <si>
    <t>The Hollow Shepherd (Passive): When an ally nears death, 10% of their maximum life is drained, empowering the Hollow Shepherd with 50% Attack Speed.</t>
  </si>
  <si>
    <t>Glacistream (Active):
Channeling her inner water affinity, she conjures a swirling water orb that crashes down upon her current target, dealing 10 × wisdom damage.
The impact then solidifies into jagged icicles beneath the enemy’s feet, impaling them and dealing 1 × atk damage per second.</t>
  </si>
  <si>
    <t>+0.17 ARMOR, +0.01 ASPD</t>
  </si>
  <si>
    <t>Might</t>
  </si>
  <si>
    <t>Reflex</t>
  </si>
  <si>
    <t>Description</t>
  </si>
  <si>
    <t>Upgrade</t>
  </si>
  <si>
    <t>Wisdom</t>
  </si>
  <si>
    <t>4*1.1=4.4</t>
  </si>
  <si>
    <t>500hp-4atk-1aspd</t>
  </si>
  <si>
    <t>526hp-4atk-1aspd</t>
  </si>
  <si>
    <t>500hp-5atk-1aspd</t>
  </si>
  <si>
    <t>50hp-4atk-1aspd</t>
  </si>
  <si>
    <t>76hp-4atk-1aspd</t>
  </si>
  <si>
    <t>50hp-4.4atk-1aspd</t>
  </si>
  <si>
    <t>ttk</t>
  </si>
  <si>
    <t>50hp-4atk-1aspd-0omnivamp</t>
  </si>
  <si>
    <t>76hp-4atk-1aspd-0omnivamp</t>
  </si>
  <si>
    <t>50hp-100mp-10mpregen</t>
  </si>
  <si>
    <t>Gooze</t>
  </si>
  <si>
    <t>GRADE</t>
  </si>
  <si>
    <t>Ironclad (active): Increase armor by 10 +  2.5 x current might for 5s.</t>
  </si>
  <si>
    <t>Celestial Atonement (Active)
- Targets the enemy with the lowest current MP.
- Tries to drain (50 + WIS × 0.5) MP.
- If the target doesn’t have enough MP, the missing amount becomes Debt.
- You gain Attack Speed equal to:
Debt × (1 + WIS × 0.1)%
Debt = (MP Drain Amount – Target MP), minimum 0
Example
Let’s say your drain amount is 40 MP, and the target has only 15 MP:
Debt = 40 − 15 = 25
With your Wisdom applied, your Attack Speed bonus becomes:
Attack Speed Bonus = 25 × (1 + WIS × 0.1)%</t>
  </si>
  <si>
    <t>Soul Ledger (passive)
- Each strike brands the enemy with a death mark, storing (5 + 0.1 * reflex)% of their max HP per hit. The mark stacks infinitely. When the enemy’s HP falls below the total stored mark value, she instantly dashes near them, cleaving with her scythe for damage equal to the stored amount. 
- Converts all MP into HP, restoring HP equal to 1% of MP.</t>
  </si>
  <si>
    <t>Eye of the Reaper (active) — Summoning the void’s own sight, she tears open a black hole in the sky. A torrent of dark magic crashes down upon her enemy, dealing 8 × wisdom damage. Each time she is wounded, the Reaper’s eye may awaken again, with a (10 + wisdom × 0.5)% chance to appear above another, untargeted foe.</t>
  </si>
  <si>
    <t>-0.25 MP, +1.5 MPREGEN</t>
  </si>
  <si>
    <t>+15 HP,  +0.1 HPREGEN</t>
  </si>
  <si>
    <t>Goo Rush (active)
Slows all nearby enemies by (0.5 + Might × 0.01) for 4.5 seconds, then leaps to the nearest ally, granting them (0.3 + Reflex × 0.01) Attack Speed for 3.5 seconds. If no allies are present, the effect is applied to himself instead.</t>
  </si>
  <si>
    <t>Mukai</t>
  </si>
  <si>
    <t>Tremor Break (active): Stomp the ground with overwhelming force, causing a stone pillar to burst upward beneath the enemy. The eruption launches them off balance before crashing into them, inflicting (8.5 × Wisdom) damage.</t>
  </si>
  <si>
    <t>Feral Awakening: Dropping under 50% HP triggers a 2-second Focus Stance, rooting you in place as primal energy gathers. Afterward, you shift into a melee form—trading range for ferocity and gaining (2 + 0.01 × Might) attack speed and (1000 + 10 × Might) bonus HP.</t>
  </si>
  <si>
    <t>Index</t>
  </si>
  <si>
    <t>Name</t>
  </si>
  <si>
    <t>RB</t>
  </si>
  <si>
    <t>GS</t>
  </si>
  <si>
    <t>SFE</t>
  </si>
  <si>
    <t>ELE</t>
  </si>
  <si>
    <t>TR</t>
  </si>
  <si>
    <t>KF</t>
  </si>
  <si>
    <t>GR</t>
  </si>
  <si>
    <t>VS</t>
  </si>
  <si>
    <t>NT</t>
  </si>
  <si>
    <t>LW</t>
  </si>
  <si>
    <t>SCE</t>
  </si>
  <si>
    <t>DE</t>
  </si>
  <si>
    <t>BV</t>
  </si>
  <si>
    <t>CG</t>
  </si>
  <si>
    <t>PV</t>
  </si>
  <si>
    <t xml:space="preserve">SF </t>
  </si>
  <si>
    <t xml:space="preserve">SC </t>
  </si>
  <si>
    <t>SH</t>
  </si>
  <si>
    <t>WE</t>
  </si>
  <si>
    <t>BE</t>
  </si>
  <si>
    <t>DC</t>
  </si>
  <si>
    <t>IS</t>
  </si>
  <si>
    <t>AH</t>
  </si>
  <si>
    <t>ES</t>
  </si>
  <si>
    <t>QS</t>
  </si>
  <si>
    <t>SE</t>
  </si>
  <si>
    <t>JE</t>
  </si>
  <si>
    <t>RD</t>
  </si>
  <si>
    <t>AAS</t>
  </si>
  <si>
    <t>MRL</t>
  </si>
  <si>
    <t>JG</t>
  </si>
  <si>
    <t>SGE</t>
  </si>
  <si>
    <t>BB</t>
  </si>
  <si>
    <t>SV</t>
  </si>
  <si>
    <t>HOJ</t>
  </si>
  <si>
    <t>BAE</t>
  </si>
  <si>
    <t>PE</t>
  </si>
  <si>
    <t>WA</t>
  </si>
  <si>
    <t>CGE</t>
  </si>
  <si>
    <t>HWE</t>
  </si>
  <si>
    <t>TG</t>
  </si>
  <si>
    <t>LE</t>
  </si>
  <si>
    <t>EE</t>
  </si>
  <si>
    <t>TC</t>
  </si>
  <si>
    <t>TS</t>
  </si>
  <si>
    <t>Is Index Unique</t>
  </si>
  <si>
    <t xml:space="preserve"> </t>
  </si>
  <si>
    <t>+10 ATK</t>
  </si>
  <si>
    <t>+3 ARMOR
+5 ATK
At 50% HP, briefly gain 100xHP.</t>
  </si>
  <si>
    <t>55hp, 25curhp, 12*2.5 armor</t>
  </si>
  <si>
    <t>-5 MP
+5.5 ATK
At 40% HP, 50% CURHP is converted to ARMOR for 5s.</t>
  </si>
  <si>
    <t xml:space="preserve">+4.25 ATK
+0.2 OMNIVAMP
Heal lowest CURHP ally for 25% of damage dealt.
</t>
  </si>
  <si>
    <t xml:space="preserve">100hp, 60curhp, </t>
  </si>
  <si>
    <t>+2.5 ATK
+3 MPREGEN
Attack grant 4 MP.</t>
  </si>
  <si>
    <t>+4.75 ATK
+100 HP
At 60% HP, gain 100% fake HP that decay over 4s.</t>
  </si>
  <si>
    <t>+4 ATK
+0.3 CRIT
Abilities can critical strike.</t>
  </si>
  <si>
    <t>Astraquill Sabre</t>
  </si>
  <si>
    <t>Viridian Bolt</t>
  </si>
  <si>
    <t>Frostlink</t>
  </si>
  <si>
    <t>Battlemask</t>
  </si>
  <si>
    <t>Nightbrew Vessel</t>
  </si>
  <si>
    <t>Fleshgrip</t>
  </si>
  <si>
    <t>Sunmane Bastion</t>
  </si>
  <si>
    <t>Grimcircuit</t>
  </si>
  <si>
    <t>PRICE</t>
  </si>
  <si>
    <t>GOLD DROP</t>
  </si>
  <si>
    <t>Price</t>
  </si>
  <si>
    <t>Bloodwing’s Blessing</t>
  </si>
  <si>
    <t>Whenever you or an ally gains a buff, a random enemy gains the corresponding debuff with equal strength and duration.</t>
  </si>
  <si>
    <r>
      <t xml:space="preserve">Targets the nearest allied unit and restores </t>
    </r>
    <r>
      <rPr>
        <b/>
        <sz val="11"/>
        <color theme="1"/>
        <rFont val="Calibri"/>
        <family val="2"/>
        <scheme val="minor"/>
      </rPr>
      <t>(10.75 × Wisdom) HP</t>
    </r>
    <r>
      <rPr>
        <sz val="11"/>
        <color theme="1"/>
        <rFont val="Calibri"/>
        <family val="2"/>
        <scheme val="minor"/>
      </rPr>
      <t>. Defaults to self if no valid ally exists.</t>
    </r>
  </si>
  <si>
    <t>mana point, champion use active skill when current mana point reach mana point.</t>
  </si>
  <si>
    <t>health point.</t>
  </si>
  <si>
    <t>how many health point is regenerated per second.</t>
  </si>
  <si>
    <t>how many mana point is regenerated per second.</t>
  </si>
  <si>
    <t>Tier</t>
  </si>
  <si>
    <t>Normal</t>
  </si>
  <si>
    <t>attack speed, 1 aspd mean 1 attack per second.</t>
  </si>
  <si>
    <t>1 armor mitigates 1 damage.</t>
  </si>
  <si>
    <t>move speed.</t>
  </si>
  <si>
    <t>damage multiplier, apply to all damage dealt.</t>
  </si>
  <si>
    <t>how much damage dealt is converted to healing self, 1 omnivamp heal for 100% of damage dealt.</t>
  </si>
  <si>
    <t>attack damage.</t>
  </si>
  <si>
    <t>crit chance.</t>
  </si>
  <si>
    <t>crit damage modifier, how much damage is multiplied on crit.</t>
  </si>
  <si>
    <t>reduces total damage taken, applied after armor.</t>
  </si>
  <si>
    <t>attack range.</t>
  </si>
  <si>
    <t>increases health point by 15 and health point regeneration by 0.1.</t>
  </si>
  <si>
    <t>increases armor by 0.17 and attack speed by 0.01.</t>
  </si>
  <si>
    <t>Decreases mana point by 0.25 and Increases mana point regeneration by 1.5.</t>
  </si>
  <si>
    <t>Deal 15% more damage against enemies with higher HP than you.</t>
  </si>
  <si>
    <t>Mooncleaver</t>
  </si>
  <si>
    <t>Attacks detonate around the target, dealing 60% ATK damage to all enemies within 1m.</t>
  </si>
  <si>
    <t>Solar Verdict</t>
  </si>
  <si>
    <t>Casting your main ability launches a piercing sword of light at the nearest enemy, dealing 5 × Might damage.</t>
  </si>
  <si>
    <t>Oathbound Hauberk</t>
  </si>
  <si>
    <t>Each time you attack or take damage, gain +0.1 Might and +0.1 Wisdom.
Bonuses reset at the end of battle.</t>
  </si>
  <si>
    <t>Whisperweave Mantle</t>
  </si>
  <si>
    <t>At the start of battle, summon 1 minion near the caster.</t>
  </si>
  <si>
    <t>Blinkspine Scepter</t>
  </si>
  <si>
    <t>Every 9.5 seconds, teleport to a random location.</t>
  </si>
  <si>
    <t>Aetherwell Shard</t>
  </si>
  <si>
    <t>Pickpocket’s Promise</t>
  </si>
  <si>
    <t>Each attack grants 1 gold.</t>
  </si>
  <si>
    <t>Mercury Grasp</t>
  </si>
  <si>
    <t>Bead of Resonant Fates</t>
  </si>
  <si>
    <t>Verdant Covenant Stone</t>
  </si>
  <si>
    <t>Whenever you deal damage to an enemy, all familiars gain +0.05 Attack Speed. Bonuses reset at the end of battle.</t>
  </si>
  <si>
    <t>Gain +1 Reflex for every 1m moved. Bonuses reset at the end of battle.</t>
  </si>
  <si>
    <t>All allied units within 1m gain +10 Mana Regeneration. Bonuses reset at the end of battle.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</si>
</sst>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rgb="FF000000"/>
      <name val="Calibri"/>
      <family val="2"/>
      <scheme val="minor"/>
    </font>
    <font>
      <sz val="11"/>
      <color rgb="FF808000"/>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0" fontId="0" fillId="0" borderId="0" xfId="0" applyAlignment="1">
      <alignment horizontal="center" vertical="center" wrapText="1"/>
    </xf>
    <xf numFmtId="0" fontId="0" fillId="0" borderId="0" xfId="0" applyAlignment="1">
      <alignment horizontal="center" wrapText="1"/>
    </xf>
    <xf numFmtId="0" fontId="1" fillId="0" borderId="0" xfId="0" applyFont="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horizontal="center" wrapText="1"/>
    </xf>
    <xf numFmtId="0" fontId="0" fillId="0" borderId="0" xfId="0" quotePrefix="1"/>
    <xf numFmtId="0" fontId="0" fillId="0" borderId="0" xfId="0" applyAlignment="1">
      <alignment horizontal="center" vertical="center"/>
    </xf>
    <xf numFmtId="0" fontId="0" fillId="0" borderId="0" xfId="0" quotePrefix="1" applyAlignment="1">
      <alignment horizontal="center" vertical="center"/>
    </xf>
    <xf numFmtId="0" fontId="0" fillId="0" borderId="0" xfId="0" quotePrefix="1" applyAlignment="1">
      <alignment wrapText="1"/>
    </xf>
    <xf numFmtId="0" fontId="0" fillId="0" borderId="0" xfId="0" applyAlignment="1">
      <alignment vertical="center" wrapText="1"/>
    </xf>
    <xf numFmtId="0" fontId="0" fillId="0" borderId="0" xfId="0" quotePrefix="1" applyAlignment="1">
      <alignment horizontal="center"/>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microsoft.com/office/2017/06/relationships/rdRichValueTypes" Target="richData/rdRichValueTypes.xml"/><Relationship Id="rId3" Type="http://schemas.openxmlformats.org/officeDocument/2006/relationships/worksheet" Target="worksheets/sheet3.xml"/><Relationship Id="rId7" Type="http://schemas.openxmlformats.org/officeDocument/2006/relationships/styles" Target="styles.xml"/><Relationship Id="rId12" Type="http://schemas.microsoft.com/office/2017/06/relationships/rdRichValueStructure" Target="richData/rdrichvaluestructure.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microsoft.com/office/2017/06/relationships/rdRichValue" Target="richData/rdrichvalue.xml"/><Relationship Id="rId5" Type="http://schemas.openxmlformats.org/officeDocument/2006/relationships/worksheet" Target="worksheets/sheet5.xml"/><Relationship Id="rId10" Type="http://schemas.microsoft.com/office/2022/10/relationships/richValueRel" Target="richData/richValueRel.xml"/><Relationship Id="rId4" Type="http://schemas.openxmlformats.org/officeDocument/2006/relationships/worksheet" Target="worksheets/sheet4.xml"/><Relationship Id="rId9" Type="http://schemas.openxmlformats.org/officeDocument/2006/relationships/sheetMetadata" Target="metadata.xml"/><Relationship Id="rId14" Type="http://schemas.openxmlformats.org/officeDocument/2006/relationships/calcChain" Target="calcChain.xml"/></Relationships>
</file>

<file path=xl/richData/_rels/richValueRel.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21" Type="http://schemas.openxmlformats.org/officeDocument/2006/relationships/image" Target="../media/image21.png"/><Relationship Id="rId34" Type="http://schemas.openxmlformats.org/officeDocument/2006/relationships/image" Target="../media/image34.png"/><Relationship Id="rId42" Type="http://schemas.openxmlformats.org/officeDocument/2006/relationships/image" Target="../media/image42.png"/><Relationship Id="rId7" Type="http://schemas.openxmlformats.org/officeDocument/2006/relationships/image" Target="../media/image7.png"/><Relationship Id="rId2" Type="http://schemas.openxmlformats.org/officeDocument/2006/relationships/image" Target="../media/image2.png"/><Relationship Id="rId16" Type="http://schemas.openxmlformats.org/officeDocument/2006/relationships/image" Target="../media/image16.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45" Type="http://schemas.openxmlformats.org/officeDocument/2006/relationships/image" Target="../media/image45.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4" Type="http://schemas.openxmlformats.org/officeDocument/2006/relationships/image" Target="../media/image44.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8" Type="http://schemas.openxmlformats.org/officeDocument/2006/relationships/image" Target="../media/image8.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20" Type="http://schemas.openxmlformats.org/officeDocument/2006/relationships/image" Target="../media/image20.png"/><Relationship Id="rId41" Type="http://schemas.openxmlformats.org/officeDocument/2006/relationships/image" Target="../media/image4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46">
  <rv s="0">
    <v>0</v>
    <v>5</v>
  </rv>
  <rv s="0">
    <v>1</v>
    <v>5</v>
  </rv>
  <rv s="0">
    <v>2</v>
    <v>5</v>
  </rv>
  <rv s="0">
    <v>3</v>
    <v>5</v>
  </rv>
  <rv s="0">
    <v>4</v>
    <v>5</v>
  </rv>
  <rv s="0">
    <v>5</v>
    <v>5</v>
  </rv>
  <rv s="0">
    <v>6</v>
    <v>5</v>
  </rv>
  <rv s="0">
    <v>7</v>
    <v>5</v>
  </rv>
  <rv s="0">
    <v>8</v>
    <v>5</v>
  </rv>
  <rv s="0">
    <v>9</v>
    <v>5</v>
  </rv>
  <rv s="0">
    <v>10</v>
    <v>5</v>
  </rv>
  <rv s="0">
    <v>11</v>
    <v>5</v>
  </rv>
  <rv s="0">
    <v>12</v>
    <v>5</v>
  </rv>
  <rv s="0">
    <v>13</v>
    <v>5</v>
  </rv>
  <rv s="0">
    <v>14</v>
    <v>5</v>
  </rv>
  <rv s="0">
    <v>15</v>
    <v>5</v>
  </rv>
  <rv s="0">
    <v>16</v>
    <v>5</v>
  </rv>
  <rv s="0">
    <v>17</v>
    <v>5</v>
  </rv>
  <rv s="0">
    <v>18</v>
    <v>5</v>
  </rv>
  <rv s="0">
    <v>19</v>
    <v>5</v>
  </rv>
  <rv s="0">
    <v>20</v>
    <v>5</v>
  </rv>
  <rv s="0">
    <v>21</v>
    <v>5</v>
  </rv>
  <rv s="0">
    <v>22</v>
    <v>5</v>
  </rv>
  <rv s="0">
    <v>23</v>
    <v>5</v>
  </rv>
  <rv s="0">
    <v>24</v>
    <v>5</v>
  </rv>
  <rv s="0">
    <v>25</v>
    <v>5</v>
  </rv>
  <rv s="0">
    <v>26</v>
    <v>5</v>
  </rv>
  <rv s="0">
    <v>27</v>
    <v>5</v>
  </rv>
  <rv s="0">
    <v>28</v>
    <v>5</v>
  </rv>
  <rv s="0">
    <v>29</v>
    <v>5</v>
  </rv>
  <rv s="0">
    <v>30</v>
    <v>5</v>
  </rv>
  <rv s="0">
    <v>31</v>
    <v>5</v>
  </rv>
  <rv s="0">
    <v>32</v>
    <v>5</v>
  </rv>
  <rv s="0">
    <v>33</v>
    <v>5</v>
  </rv>
  <rv s="0">
    <v>34</v>
    <v>5</v>
  </rv>
  <rv s="0">
    <v>35</v>
    <v>5</v>
  </rv>
  <rv s="0">
    <v>36</v>
    <v>5</v>
  </rv>
  <rv s="0">
    <v>37</v>
    <v>5</v>
  </rv>
  <rv s="0">
    <v>38</v>
    <v>5</v>
  </rv>
  <rv s="0">
    <v>39</v>
    <v>5</v>
  </rv>
  <rv s="0">
    <v>40</v>
    <v>5</v>
  </rv>
  <rv s="0">
    <v>41</v>
    <v>5</v>
  </rv>
  <rv s="0">
    <v>42</v>
    <v>5</v>
  </rv>
  <rv s="0">
    <v>43</v>
    <v>5</v>
  </rv>
  <rv s="0">
    <v>44</v>
    <v>5</v>
  </rv>
  <rv s="0">
    <v>45</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el r:id="rId25"/>
  <rel r:id="rId26"/>
  <rel r:id="rId27"/>
  <rel r:id="rId28"/>
  <rel r:id="rId29"/>
  <rel r:id="rId30"/>
  <rel r:id="rId31"/>
  <rel r:id="rId32"/>
  <rel r:id="rId33"/>
  <rel r:id="rId34"/>
  <rel r:id="rId35"/>
  <rel r:id="rId36"/>
  <rel r:id="rId37"/>
  <rel r:id="rId38"/>
  <rel r:id="rId39"/>
  <rel r:id="rId40"/>
  <rel r:id="rId41"/>
  <rel r:id="rId42"/>
  <rel r:id="rId43"/>
  <rel r:id="rId44"/>
  <rel r:id="rId45"/>
  <rel r:id="rId46"/>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V27"/>
  <sheetViews>
    <sheetView zoomScale="85" zoomScaleNormal="85" workbookViewId="0">
      <pane xSplit="1" ySplit="1" topLeftCell="B4" activePane="bottomRight" state="frozen"/>
      <selection pane="topRight" activeCell="B1" sqref="B1"/>
      <selection pane="bottomLeft" activeCell="A2" sqref="A2"/>
      <selection pane="bottomRight" activeCell="B9" sqref="B9"/>
    </sheetView>
  </sheetViews>
  <sheetFormatPr defaultRowHeight="14.4" x14ac:dyDescent="0.3"/>
  <cols>
    <col min="1" max="1" width="20" customWidth="1"/>
    <col min="2" max="2" width="47" customWidth="1"/>
    <col min="4" max="4" width="10" customWidth="1"/>
    <col min="6" max="6" width="10.21875" customWidth="1"/>
    <col min="13" max="13" width="11" customWidth="1"/>
    <col min="14" max="14" width="11.77734375" customWidth="1"/>
    <col min="16" max="16" width="12.109375" customWidth="1"/>
    <col min="17" max="17" width="10.109375" customWidth="1"/>
    <col min="18" max="18" width="12.77734375" customWidth="1"/>
    <col min="19" max="19" width="12.44140625" customWidth="1"/>
    <col min="22" max="22" width="11.6640625" customWidth="1"/>
  </cols>
  <sheetData>
    <row r="1" spans="1:22" ht="28.8" x14ac:dyDescent="0.3">
      <c r="A1" s="1" t="s">
        <v>28</v>
      </c>
      <c r="B1" s="1" t="s">
        <v>29</v>
      </c>
      <c r="C1" s="1" t="s">
        <v>2</v>
      </c>
      <c r="D1" s="1" t="s">
        <v>5</v>
      </c>
      <c r="E1" s="1" t="s">
        <v>6</v>
      </c>
      <c r="F1" s="1" t="s">
        <v>7</v>
      </c>
      <c r="G1" s="1" t="s">
        <v>8</v>
      </c>
      <c r="H1" s="1" t="s">
        <v>9</v>
      </c>
      <c r="I1" s="1" t="s">
        <v>10</v>
      </c>
      <c r="J1" s="1" t="s">
        <v>11</v>
      </c>
      <c r="K1" s="1" t="s">
        <v>12</v>
      </c>
      <c r="L1" s="1" t="s">
        <v>13</v>
      </c>
      <c r="M1" s="1" t="s">
        <v>14</v>
      </c>
      <c r="N1" s="1" t="s">
        <v>15</v>
      </c>
      <c r="O1" s="1" t="s">
        <v>16</v>
      </c>
      <c r="P1" s="1" t="s">
        <v>17</v>
      </c>
      <c r="Q1" s="1" t="s">
        <v>18</v>
      </c>
      <c r="R1" s="1" t="s">
        <v>19</v>
      </c>
      <c r="S1" s="1" t="s">
        <v>20</v>
      </c>
      <c r="T1" s="1" t="s">
        <v>73</v>
      </c>
      <c r="U1" s="1" t="s">
        <v>150</v>
      </c>
      <c r="V1" s="1" t="s">
        <v>151</v>
      </c>
    </row>
    <row r="2" spans="1:22" x14ac:dyDescent="0.3">
      <c r="A2" s="1" t="s">
        <v>1</v>
      </c>
      <c r="B2" s="3"/>
      <c r="C2" s="1">
        <v>1000</v>
      </c>
      <c r="D2" s="1"/>
      <c r="E2" s="1"/>
      <c r="F2" s="1"/>
      <c r="G2" s="1"/>
      <c r="H2" s="1"/>
      <c r="I2" s="1"/>
      <c r="J2" s="1"/>
      <c r="K2" s="1"/>
      <c r="L2" s="1"/>
      <c r="M2" s="1"/>
      <c r="N2" s="1"/>
      <c r="O2" s="1"/>
      <c r="P2" s="1"/>
      <c r="Q2" s="1"/>
      <c r="R2" s="1"/>
      <c r="S2" s="1"/>
    </row>
    <row r="3" spans="1:22" ht="98.4" customHeight="1" x14ac:dyDescent="0.3">
      <c r="A3" s="1" t="s">
        <v>23</v>
      </c>
      <c r="B3" s="4" t="s">
        <v>54</v>
      </c>
      <c r="C3" s="1">
        <v>150</v>
      </c>
      <c r="D3" s="1">
        <v>0</v>
      </c>
      <c r="E3" s="1">
        <v>100</v>
      </c>
      <c r="F3" s="1">
        <v>10</v>
      </c>
      <c r="G3" s="1">
        <v>1</v>
      </c>
      <c r="H3" s="1">
        <v>1</v>
      </c>
      <c r="I3" s="1">
        <v>1</v>
      </c>
      <c r="J3" s="1">
        <v>0.8</v>
      </c>
      <c r="K3" s="1">
        <v>0.5</v>
      </c>
      <c r="L3" s="1">
        <v>2</v>
      </c>
      <c r="M3" s="1">
        <v>1</v>
      </c>
      <c r="N3" s="1">
        <v>0</v>
      </c>
      <c r="O3" s="1">
        <v>3.8</v>
      </c>
      <c r="P3" s="1">
        <v>0.25</v>
      </c>
      <c r="Q3" s="1">
        <v>1</v>
      </c>
      <c r="R3" s="1">
        <v>0</v>
      </c>
      <c r="S3" s="1">
        <v>1.25</v>
      </c>
      <c r="T3" s="1">
        <v>3</v>
      </c>
      <c r="U3" s="1">
        <v>200</v>
      </c>
      <c r="V3" s="1">
        <v>50</v>
      </c>
    </row>
    <row r="4" spans="1:22" ht="157.19999999999999" customHeight="1" x14ac:dyDescent="0.3">
      <c r="A4" s="1"/>
      <c r="B4" s="3" t="s">
        <v>24</v>
      </c>
      <c r="C4" s="1"/>
      <c r="D4" s="1"/>
      <c r="E4" s="1"/>
      <c r="F4" s="1"/>
      <c r="G4" s="1"/>
      <c r="H4" s="1"/>
      <c r="I4" s="1"/>
      <c r="J4" s="1"/>
      <c r="K4" s="1"/>
      <c r="L4" s="1"/>
      <c r="M4" s="1"/>
      <c r="N4" s="1"/>
      <c r="O4" s="1"/>
      <c r="P4" s="1"/>
      <c r="Q4" s="1"/>
      <c r="R4" s="1"/>
      <c r="S4" s="1"/>
    </row>
    <row r="5" spans="1:22" ht="93.6" customHeight="1" x14ac:dyDescent="0.3">
      <c r="A5" s="1" t="s">
        <v>26</v>
      </c>
      <c r="B5" s="4" t="s">
        <v>25</v>
      </c>
      <c r="C5" s="1">
        <v>38</v>
      </c>
      <c r="D5" s="1">
        <v>0</v>
      </c>
      <c r="E5" s="1">
        <v>80</v>
      </c>
      <c r="F5" s="1">
        <v>10</v>
      </c>
      <c r="G5" s="1">
        <v>1</v>
      </c>
      <c r="H5" s="1">
        <v>1</v>
      </c>
      <c r="I5" s="1">
        <v>1</v>
      </c>
      <c r="J5" s="1">
        <v>0.75</v>
      </c>
      <c r="K5" s="1">
        <v>0.75</v>
      </c>
      <c r="L5" s="1">
        <v>2</v>
      </c>
      <c r="M5" s="1">
        <v>1</v>
      </c>
      <c r="N5" s="1">
        <v>0</v>
      </c>
      <c r="O5" s="1">
        <v>3.8</v>
      </c>
      <c r="P5" s="1">
        <v>0.25</v>
      </c>
      <c r="Q5" s="1">
        <v>1</v>
      </c>
      <c r="R5" s="1">
        <v>0</v>
      </c>
      <c r="S5" s="1">
        <v>1.25</v>
      </c>
      <c r="T5" s="1">
        <v>2</v>
      </c>
      <c r="U5" s="1">
        <v>125</v>
      </c>
      <c r="V5" s="1">
        <v>35</v>
      </c>
    </row>
    <row r="6" spans="1:22" ht="57.6" x14ac:dyDescent="0.3">
      <c r="A6" s="1"/>
      <c r="B6" s="3" t="s">
        <v>27</v>
      </c>
      <c r="C6" s="1"/>
      <c r="D6" s="1"/>
      <c r="E6" s="1"/>
      <c r="F6" s="1"/>
      <c r="G6" s="1"/>
      <c r="H6" s="1"/>
      <c r="I6" s="1"/>
      <c r="J6" s="1"/>
      <c r="K6" s="1"/>
      <c r="L6" s="1"/>
      <c r="M6" s="1"/>
      <c r="N6" s="1"/>
      <c r="O6" s="1"/>
      <c r="P6" s="1"/>
      <c r="Q6" s="1"/>
      <c r="R6" s="1"/>
      <c r="S6" s="1"/>
    </row>
    <row r="7" spans="1:22" ht="100.8" x14ac:dyDescent="0.3">
      <c r="A7" s="1" t="s">
        <v>30</v>
      </c>
      <c r="B7" s="4" t="s">
        <v>77</v>
      </c>
      <c r="C7" s="1">
        <v>34</v>
      </c>
      <c r="D7" s="1">
        <v>0</v>
      </c>
      <c r="E7" s="1">
        <v>40</v>
      </c>
      <c r="F7" s="1">
        <v>10</v>
      </c>
      <c r="G7" s="1">
        <v>1</v>
      </c>
      <c r="H7" s="1">
        <v>1</v>
      </c>
      <c r="I7" s="1">
        <v>1</v>
      </c>
      <c r="J7" s="1">
        <v>0.8</v>
      </c>
      <c r="K7" s="1">
        <v>0.5</v>
      </c>
      <c r="L7" s="1">
        <v>2</v>
      </c>
      <c r="M7" s="1">
        <v>1</v>
      </c>
      <c r="N7" s="1">
        <v>0</v>
      </c>
      <c r="O7" s="1">
        <v>3.8</v>
      </c>
      <c r="P7" s="1">
        <v>0.25</v>
      </c>
      <c r="Q7" s="1">
        <v>1</v>
      </c>
      <c r="R7" s="1">
        <v>0</v>
      </c>
      <c r="S7" s="1">
        <v>1.25</v>
      </c>
      <c r="T7" s="1">
        <v>1</v>
      </c>
      <c r="U7" s="1">
        <v>70</v>
      </c>
      <c r="V7" s="1">
        <v>20</v>
      </c>
    </row>
    <row r="8" spans="1:22" ht="86.4" x14ac:dyDescent="0.3">
      <c r="A8" s="1" t="s">
        <v>32</v>
      </c>
      <c r="B8" s="3" t="s">
        <v>31</v>
      </c>
      <c r="C8" s="1">
        <v>55</v>
      </c>
      <c r="D8" s="1">
        <v>0</v>
      </c>
      <c r="E8" s="1">
        <v>65</v>
      </c>
      <c r="F8" s="1">
        <v>10</v>
      </c>
      <c r="G8" s="1">
        <v>1</v>
      </c>
      <c r="H8" s="1">
        <v>1</v>
      </c>
      <c r="I8" s="1">
        <v>1</v>
      </c>
      <c r="J8" s="1">
        <v>0.8</v>
      </c>
      <c r="K8" s="1">
        <v>1</v>
      </c>
      <c r="L8" s="1">
        <v>2</v>
      </c>
      <c r="M8" s="1">
        <v>1</v>
      </c>
      <c r="N8" s="1">
        <v>0</v>
      </c>
      <c r="O8" s="1">
        <v>3.8</v>
      </c>
      <c r="P8" s="1">
        <v>0.25</v>
      </c>
      <c r="Q8" s="1">
        <v>1</v>
      </c>
      <c r="R8" s="1">
        <v>0</v>
      </c>
      <c r="S8" s="1">
        <v>1.25</v>
      </c>
      <c r="T8" s="1">
        <v>1</v>
      </c>
      <c r="U8" s="1">
        <v>55</v>
      </c>
      <c r="V8" s="1">
        <v>15</v>
      </c>
    </row>
    <row r="9" spans="1:22" ht="88.2" customHeight="1" x14ac:dyDescent="0.3">
      <c r="A9" s="1" t="s">
        <v>33</v>
      </c>
      <c r="B9" s="4" t="s">
        <v>51</v>
      </c>
      <c r="C9" s="1">
        <v>38</v>
      </c>
      <c r="D9" s="1">
        <v>0</v>
      </c>
      <c r="E9" s="1">
        <v>60</v>
      </c>
      <c r="F9" s="1">
        <v>10</v>
      </c>
      <c r="G9" s="1">
        <v>1</v>
      </c>
      <c r="H9" s="1">
        <v>1</v>
      </c>
      <c r="I9" s="1">
        <v>1</v>
      </c>
      <c r="J9" s="1">
        <v>0.8</v>
      </c>
      <c r="K9" s="1">
        <v>0.75</v>
      </c>
      <c r="L9" s="1">
        <v>2</v>
      </c>
      <c r="M9" s="1">
        <v>1</v>
      </c>
      <c r="N9" s="1">
        <v>0</v>
      </c>
      <c r="O9" s="1">
        <v>3.8</v>
      </c>
      <c r="P9" s="1">
        <v>0.25</v>
      </c>
      <c r="Q9" s="1">
        <v>1</v>
      </c>
      <c r="R9" s="1">
        <v>0</v>
      </c>
      <c r="S9" s="1">
        <v>10</v>
      </c>
      <c r="T9" s="1">
        <v>1</v>
      </c>
      <c r="U9" s="1">
        <v>50</v>
      </c>
      <c r="V9" s="1">
        <v>19</v>
      </c>
    </row>
    <row r="10" spans="1:22" ht="86.4" x14ac:dyDescent="0.3">
      <c r="A10" s="1" t="s">
        <v>72</v>
      </c>
      <c r="B10" s="4" t="s">
        <v>80</v>
      </c>
      <c r="C10" s="1">
        <v>50</v>
      </c>
      <c r="D10" s="1">
        <v>0</v>
      </c>
      <c r="E10" s="1">
        <v>55</v>
      </c>
      <c r="F10" s="1">
        <v>10</v>
      </c>
      <c r="G10" s="1">
        <v>1</v>
      </c>
      <c r="H10" s="1">
        <v>1</v>
      </c>
      <c r="I10" s="1">
        <v>1</v>
      </c>
      <c r="J10" s="1">
        <v>0.8</v>
      </c>
      <c r="K10" s="1">
        <v>1</v>
      </c>
      <c r="L10" s="1">
        <v>2</v>
      </c>
      <c r="M10" s="1">
        <v>1</v>
      </c>
      <c r="N10" s="1">
        <v>0</v>
      </c>
      <c r="O10" s="1">
        <v>3.5</v>
      </c>
      <c r="P10" s="1">
        <v>0.25</v>
      </c>
      <c r="Q10" s="1">
        <v>1</v>
      </c>
      <c r="R10" s="1">
        <v>0</v>
      </c>
      <c r="S10" s="1">
        <v>1.25</v>
      </c>
      <c r="T10" s="1">
        <v>1</v>
      </c>
      <c r="U10" s="1">
        <v>67</v>
      </c>
      <c r="V10" s="1">
        <v>14</v>
      </c>
    </row>
    <row r="11" spans="1:22" ht="57.6" x14ac:dyDescent="0.3">
      <c r="A11" s="1" t="s">
        <v>3</v>
      </c>
      <c r="B11" s="3" t="s">
        <v>52</v>
      </c>
      <c r="C11" s="1">
        <v>55</v>
      </c>
      <c r="D11" s="1">
        <v>0</v>
      </c>
      <c r="E11" s="1">
        <v>75</v>
      </c>
      <c r="F11" s="1">
        <v>10</v>
      </c>
      <c r="G11" s="1">
        <v>1</v>
      </c>
      <c r="H11" s="1">
        <v>1</v>
      </c>
      <c r="I11" s="1">
        <v>1</v>
      </c>
      <c r="J11" s="1">
        <v>0.8</v>
      </c>
      <c r="K11" s="1">
        <v>1</v>
      </c>
      <c r="L11" s="1">
        <v>2</v>
      </c>
      <c r="M11" s="1">
        <v>1</v>
      </c>
      <c r="N11" s="1">
        <v>0</v>
      </c>
      <c r="O11" s="1">
        <v>3.8</v>
      </c>
      <c r="P11" s="1">
        <v>0.25</v>
      </c>
      <c r="Q11" s="1">
        <v>1</v>
      </c>
      <c r="R11" s="1">
        <v>0</v>
      </c>
      <c r="S11" s="1">
        <v>1.25</v>
      </c>
      <c r="T11" s="1">
        <v>2</v>
      </c>
      <c r="U11" s="1">
        <v>100</v>
      </c>
      <c r="V11" s="1">
        <v>33</v>
      </c>
    </row>
    <row r="12" spans="1:22" ht="57.6" x14ac:dyDescent="0.3">
      <c r="A12" s="2"/>
      <c r="B12" s="5" t="s">
        <v>53</v>
      </c>
      <c r="C12" s="2"/>
      <c r="D12" s="2"/>
      <c r="E12" s="2"/>
      <c r="F12" s="2"/>
      <c r="G12" s="2"/>
      <c r="H12" s="2"/>
      <c r="I12" s="2"/>
      <c r="J12" s="2"/>
      <c r="K12" s="2"/>
      <c r="L12" s="2"/>
      <c r="M12" s="2"/>
      <c r="N12" s="2"/>
      <c r="O12" s="2"/>
      <c r="P12" s="2"/>
      <c r="Q12" s="2"/>
      <c r="R12" s="2"/>
      <c r="S12" s="2"/>
    </row>
    <row r="13" spans="1:22" ht="72" x14ac:dyDescent="0.3">
      <c r="A13" s="1" t="s">
        <v>35</v>
      </c>
      <c r="B13" s="3" t="s">
        <v>34</v>
      </c>
      <c r="C13" s="1">
        <v>38</v>
      </c>
      <c r="D13" s="1">
        <v>0</v>
      </c>
      <c r="E13" s="1">
        <v>85</v>
      </c>
      <c r="F13" s="1">
        <v>10</v>
      </c>
      <c r="G13" s="1">
        <v>1</v>
      </c>
      <c r="H13" s="1">
        <v>1</v>
      </c>
      <c r="I13" s="1">
        <v>1</v>
      </c>
      <c r="J13" s="1">
        <v>0.8</v>
      </c>
      <c r="K13" s="1">
        <v>0.75</v>
      </c>
      <c r="L13" s="1">
        <v>2</v>
      </c>
      <c r="M13" s="1">
        <v>1</v>
      </c>
      <c r="N13" s="1">
        <v>0</v>
      </c>
      <c r="O13" s="1">
        <v>5.3</v>
      </c>
      <c r="P13" s="1">
        <v>0.25</v>
      </c>
      <c r="Q13" s="1">
        <v>1</v>
      </c>
      <c r="R13" s="1">
        <v>0</v>
      </c>
      <c r="S13" s="1">
        <v>1.25</v>
      </c>
      <c r="T13" s="1">
        <v>1</v>
      </c>
      <c r="U13" s="1">
        <v>58</v>
      </c>
      <c r="V13" s="1">
        <v>14</v>
      </c>
    </row>
    <row r="14" spans="1:22" ht="26.4" customHeight="1" x14ac:dyDescent="0.3">
      <c r="A14" s="1" t="s">
        <v>4</v>
      </c>
      <c r="B14" s="4" t="s">
        <v>74</v>
      </c>
      <c r="C14" s="1">
        <v>50</v>
      </c>
      <c r="D14" s="1">
        <v>0</v>
      </c>
      <c r="E14" s="1">
        <v>80</v>
      </c>
      <c r="F14" s="1">
        <v>10</v>
      </c>
      <c r="G14" s="1">
        <v>1</v>
      </c>
      <c r="H14" s="1">
        <v>1</v>
      </c>
      <c r="I14" s="1">
        <v>1</v>
      </c>
      <c r="J14" s="1">
        <v>0.8</v>
      </c>
      <c r="K14" s="1">
        <v>1</v>
      </c>
      <c r="L14" s="1">
        <v>2</v>
      </c>
      <c r="M14" s="1">
        <v>1</v>
      </c>
      <c r="N14" s="1">
        <v>0</v>
      </c>
      <c r="O14" s="1">
        <v>3.8</v>
      </c>
      <c r="P14" s="1">
        <v>0.25</v>
      </c>
      <c r="Q14" s="1">
        <v>1</v>
      </c>
      <c r="R14" s="1">
        <v>0</v>
      </c>
      <c r="S14" s="1">
        <v>1.25</v>
      </c>
      <c r="T14" s="1">
        <v>1</v>
      </c>
      <c r="U14" s="1">
        <v>60</v>
      </c>
      <c r="V14" s="1">
        <v>15</v>
      </c>
    </row>
    <row r="15" spans="1:22" ht="232.2" customHeight="1" x14ac:dyDescent="0.3">
      <c r="A15" s="1" t="s">
        <v>36</v>
      </c>
      <c r="B15" s="4" t="s">
        <v>75</v>
      </c>
      <c r="C15" s="1">
        <v>34</v>
      </c>
      <c r="D15" s="1">
        <v>0</v>
      </c>
      <c r="E15" s="1">
        <v>100</v>
      </c>
      <c r="F15" s="1">
        <v>10</v>
      </c>
      <c r="G15" s="1">
        <v>1</v>
      </c>
      <c r="H15" s="1">
        <v>1</v>
      </c>
      <c r="I15" s="1">
        <v>1</v>
      </c>
      <c r="J15" s="1">
        <v>0.75</v>
      </c>
      <c r="K15" s="1">
        <v>1</v>
      </c>
      <c r="L15" s="1">
        <v>2</v>
      </c>
      <c r="M15" s="1">
        <v>1</v>
      </c>
      <c r="N15" s="1">
        <v>0</v>
      </c>
      <c r="O15" s="1">
        <v>3.8</v>
      </c>
      <c r="P15" s="1">
        <v>0.25</v>
      </c>
      <c r="Q15" s="1">
        <v>1</v>
      </c>
      <c r="R15" s="1">
        <v>0</v>
      </c>
      <c r="S15" s="1">
        <v>1.25</v>
      </c>
      <c r="T15" s="1">
        <v>2</v>
      </c>
      <c r="U15" s="1">
        <v>120</v>
      </c>
      <c r="V15" s="1">
        <v>37</v>
      </c>
    </row>
    <row r="16" spans="1:22" ht="78" customHeight="1" x14ac:dyDescent="0.3">
      <c r="A16" s="1" t="s">
        <v>81</v>
      </c>
      <c r="B16" s="1" t="s">
        <v>82</v>
      </c>
      <c r="C16" s="1">
        <v>200</v>
      </c>
      <c r="D16" s="1">
        <v>0</v>
      </c>
      <c r="E16" s="1">
        <v>50</v>
      </c>
      <c r="F16" s="1">
        <v>10</v>
      </c>
      <c r="G16" s="1">
        <v>1</v>
      </c>
      <c r="H16" s="1">
        <v>1</v>
      </c>
      <c r="I16" s="1">
        <v>1</v>
      </c>
      <c r="J16" s="1">
        <v>1</v>
      </c>
      <c r="K16" s="1">
        <v>1</v>
      </c>
      <c r="L16" s="1">
        <v>2</v>
      </c>
      <c r="M16" s="1">
        <v>1</v>
      </c>
      <c r="N16" s="1">
        <v>0</v>
      </c>
      <c r="O16" s="1">
        <v>3.8</v>
      </c>
      <c r="P16" s="1">
        <v>0.25</v>
      </c>
      <c r="Q16" s="1">
        <v>1</v>
      </c>
      <c r="R16" s="1">
        <v>0</v>
      </c>
      <c r="S16" s="1">
        <v>1.25</v>
      </c>
      <c r="T16" s="1">
        <v>4</v>
      </c>
      <c r="U16" s="1">
        <v>350</v>
      </c>
      <c r="V16" s="1">
        <v>95</v>
      </c>
    </row>
    <row r="17" spans="1:22" ht="91.2" customHeight="1" x14ac:dyDescent="0.3">
      <c r="A17" s="1"/>
      <c r="B17" s="1" t="s">
        <v>83</v>
      </c>
    </row>
    <row r="18" spans="1:22" ht="43.2" x14ac:dyDescent="0.3">
      <c r="A18" s="1" t="s">
        <v>38</v>
      </c>
      <c r="B18" s="3" t="s">
        <v>37</v>
      </c>
      <c r="C18" s="1">
        <v>38</v>
      </c>
      <c r="D18" s="1">
        <v>0</v>
      </c>
      <c r="E18" s="1">
        <v>65</v>
      </c>
      <c r="F18" s="1">
        <v>10</v>
      </c>
      <c r="G18" s="1">
        <v>1</v>
      </c>
      <c r="H18" s="1">
        <v>1</v>
      </c>
      <c r="I18" s="1">
        <v>1</v>
      </c>
      <c r="J18" s="1">
        <v>0.8</v>
      </c>
      <c r="K18" s="1">
        <v>0.75</v>
      </c>
      <c r="L18" s="1">
        <v>2</v>
      </c>
      <c r="M18" s="1">
        <v>1</v>
      </c>
      <c r="N18" s="1">
        <v>0</v>
      </c>
      <c r="O18" s="1">
        <v>4</v>
      </c>
      <c r="P18" s="1">
        <v>0.25</v>
      </c>
      <c r="Q18" s="1">
        <v>1</v>
      </c>
      <c r="R18" s="1">
        <v>0</v>
      </c>
      <c r="S18" s="1">
        <v>10</v>
      </c>
      <c r="T18" s="1">
        <v>1</v>
      </c>
      <c r="U18" s="1">
        <v>60</v>
      </c>
      <c r="V18" s="1">
        <v>18</v>
      </c>
    </row>
    <row r="19" spans="1:22" ht="129.6" x14ac:dyDescent="0.3">
      <c r="A19" s="1" t="s">
        <v>40</v>
      </c>
      <c r="B19" s="4" t="s">
        <v>39</v>
      </c>
      <c r="C19" s="1">
        <v>50</v>
      </c>
      <c r="D19" s="1">
        <v>0</v>
      </c>
      <c r="E19" s="1">
        <v>60</v>
      </c>
      <c r="F19" s="1">
        <v>10</v>
      </c>
      <c r="G19" s="1">
        <v>1</v>
      </c>
      <c r="H19" s="1">
        <v>1</v>
      </c>
      <c r="I19" s="1">
        <v>1</v>
      </c>
      <c r="J19" s="1">
        <v>0.85</v>
      </c>
      <c r="K19" s="1">
        <v>0.75</v>
      </c>
      <c r="L19" s="1">
        <v>2</v>
      </c>
      <c r="M19" s="1">
        <v>1</v>
      </c>
      <c r="N19" s="1">
        <v>0</v>
      </c>
      <c r="O19" s="1">
        <v>3.8</v>
      </c>
      <c r="P19" s="1">
        <v>0.25</v>
      </c>
      <c r="Q19" s="1">
        <v>1</v>
      </c>
      <c r="R19" s="1">
        <v>0</v>
      </c>
      <c r="S19" s="1">
        <v>1.25</v>
      </c>
      <c r="T19" s="1">
        <v>1</v>
      </c>
      <c r="U19" s="1">
        <v>62</v>
      </c>
      <c r="V19" s="1">
        <v>16</v>
      </c>
    </row>
    <row r="20" spans="1:22" ht="57.6" x14ac:dyDescent="0.3">
      <c r="A20" s="1" t="s">
        <v>42</v>
      </c>
      <c r="B20" s="3" t="s">
        <v>41</v>
      </c>
      <c r="C20" s="1">
        <v>55</v>
      </c>
      <c r="D20" s="1">
        <v>0</v>
      </c>
      <c r="E20" s="1">
        <v>75</v>
      </c>
      <c r="F20" s="1">
        <v>10</v>
      </c>
      <c r="G20" s="1">
        <v>1</v>
      </c>
      <c r="H20" s="1">
        <v>1</v>
      </c>
      <c r="I20" s="1">
        <v>1</v>
      </c>
      <c r="J20" s="1">
        <v>0.8</v>
      </c>
      <c r="K20" s="1">
        <v>1</v>
      </c>
      <c r="L20" s="1">
        <v>2</v>
      </c>
      <c r="M20" s="1">
        <v>1</v>
      </c>
      <c r="N20" s="1">
        <v>0</v>
      </c>
      <c r="O20" s="1">
        <v>3.8</v>
      </c>
      <c r="P20" s="1">
        <v>0.25</v>
      </c>
      <c r="Q20" s="1">
        <v>1</v>
      </c>
      <c r="R20" s="1">
        <v>0</v>
      </c>
      <c r="S20" s="1">
        <v>1.25</v>
      </c>
      <c r="T20" s="1">
        <v>1</v>
      </c>
      <c r="U20" s="1">
        <v>52</v>
      </c>
      <c r="V20" s="1">
        <v>16</v>
      </c>
    </row>
    <row r="21" spans="1:22" ht="42" customHeight="1" x14ac:dyDescent="0.3">
      <c r="A21" s="1" t="s">
        <v>21</v>
      </c>
      <c r="B21" s="3" t="s">
        <v>22</v>
      </c>
      <c r="C21" s="1">
        <v>38</v>
      </c>
      <c r="D21" s="1">
        <v>0</v>
      </c>
      <c r="E21" s="1">
        <v>60</v>
      </c>
      <c r="F21" s="1">
        <v>10</v>
      </c>
      <c r="G21" s="1">
        <v>1</v>
      </c>
      <c r="H21" s="1">
        <v>1</v>
      </c>
      <c r="I21" s="1">
        <v>1</v>
      </c>
      <c r="J21" s="1">
        <v>1</v>
      </c>
      <c r="K21" s="1">
        <v>0.75</v>
      </c>
      <c r="L21" s="1">
        <v>2</v>
      </c>
      <c r="M21" s="1">
        <v>1</v>
      </c>
      <c r="N21" s="1">
        <v>0</v>
      </c>
      <c r="O21" s="1">
        <v>5.3</v>
      </c>
      <c r="P21" s="1">
        <v>0.25</v>
      </c>
      <c r="Q21" s="1">
        <v>1</v>
      </c>
      <c r="R21" s="1">
        <v>0</v>
      </c>
      <c r="S21" s="1">
        <v>1.25</v>
      </c>
      <c r="T21" s="1">
        <v>1</v>
      </c>
      <c r="U21" s="1">
        <v>65</v>
      </c>
      <c r="V21" s="1">
        <v>13</v>
      </c>
    </row>
    <row r="22" spans="1:22" ht="86.4" x14ac:dyDescent="0.3">
      <c r="A22" s="1" t="s">
        <v>44</v>
      </c>
      <c r="B22" s="4" t="s">
        <v>43</v>
      </c>
      <c r="C22" s="1">
        <v>50</v>
      </c>
      <c r="D22" s="1">
        <v>0</v>
      </c>
      <c r="E22" s="1">
        <v>70</v>
      </c>
      <c r="F22" s="1">
        <v>10</v>
      </c>
      <c r="G22" s="1">
        <v>1</v>
      </c>
      <c r="H22" s="1">
        <v>1</v>
      </c>
      <c r="I22" s="1">
        <v>1</v>
      </c>
      <c r="J22" s="1">
        <v>0.85</v>
      </c>
      <c r="K22" s="1">
        <v>1</v>
      </c>
      <c r="L22" s="1">
        <v>2</v>
      </c>
      <c r="M22" s="1">
        <v>1</v>
      </c>
      <c r="N22" s="1">
        <v>0</v>
      </c>
      <c r="O22" s="1">
        <v>3.8</v>
      </c>
      <c r="P22" s="1">
        <v>0.25</v>
      </c>
      <c r="Q22" s="1">
        <v>1</v>
      </c>
      <c r="R22" s="1">
        <v>0</v>
      </c>
      <c r="S22" s="1">
        <v>1.25</v>
      </c>
      <c r="T22" s="1">
        <v>2</v>
      </c>
      <c r="U22" s="1">
        <v>115</v>
      </c>
      <c r="V22" s="1">
        <v>36</v>
      </c>
    </row>
    <row r="23" spans="1:22" ht="67.2" customHeight="1" x14ac:dyDescent="0.3">
      <c r="A23" s="1" t="s">
        <v>45</v>
      </c>
      <c r="B23" s="3" t="s">
        <v>50</v>
      </c>
      <c r="C23" s="1">
        <v>38</v>
      </c>
      <c r="D23" s="1">
        <v>0</v>
      </c>
      <c r="E23" s="1">
        <v>75</v>
      </c>
      <c r="F23" s="1">
        <v>10</v>
      </c>
      <c r="G23" s="1">
        <v>1</v>
      </c>
      <c r="H23" s="1">
        <v>1</v>
      </c>
      <c r="I23" s="1">
        <v>1</v>
      </c>
      <c r="J23" s="1">
        <v>1</v>
      </c>
      <c r="K23" s="1">
        <v>0.75</v>
      </c>
      <c r="L23" s="1">
        <v>2</v>
      </c>
      <c r="M23" s="1">
        <v>1</v>
      </c>
      <c r="N23" s="1">
        <v>0</v>
      </c>
      <c r="O23" s="1">
        <v>5.3</v>
      </c>
      <c r="P23" s="1">
        <v>0.25</v>
      </c>
      <c r="Q23" s="1">
        <v>1</v>
      </c>
      <c r="R23" s="1">
        <v>0</v>
      </c>
      <c r="S23" s="1">
        <v>1.25</v>
      </c>
      <c r="T23" s="1">
        <v>1</v>
      </c>
      <c r="U23" s="1">
        <v>54</v>
      </c>
      <c r="V23" s="1">
        <v>15</v>
      </c>
    </row>
    <row r="24" spans="1:22" ht="129.6" x14ac:dyDescent="0.3">
      <c r="A24" s="1" t="s">
        <v>0</v>
      </c>
      <c r="B24" s="4" t="s">
        <v>76</v>
      </c>
      <c r="C24" s="1">
        <v>38</v>
      </c>
      <c r="D24" s="1">
        <v>0</v>
      </c>
      <c r="E24" s="1">
        <v>100</v>
      </c>
      <c r="F24" s="1">
        <v>10</v>
      </c>
      <c r="G24" s="1">
        <v>1</v>
      </c>
      <c r="H24" s="1">
        <v>1</v>
      </c>
      <c r="I24" s="1">
        <v>1</v>
      </c>
      <c r="J24" s="1">
        <v>0.75</v>
      </c>
      <c r="K24" s="1">
        <v>0.75</v>
      </c>
      <c r="L24" s="1">
        <v>2</v>
      </c>
      <c r="M24" s="1">
        <v>1</v>
      </c>
      <c r="N24" s="1">
        <v>0</v>
      </c>
      <c r="O24" s="1">
        <v>3.8</v>
      </c>
      <c r="P24" s="1">
        <v>0.25</v>
      </c>
      <c r="Q24" s="1">
        <v>1</v>
      </c>
      <c r="R24" s="1">
        <v>0</v>
      </c>
      <c r="S24" s="1">
        <v>10</v>
      </c>
      <c r="T24" s="1">
        <v>3</v>
      </c>
      <c r="U24" s="1">
        <v>215</v>
      </c>
      <c r="V24" s="1">
        <v>50</v>
      </c>
    </row>
    <row r="25" spans="1:22" x14ac:dyDescent="0.3">
      <c r="A25" s="1" t="s">
        <v>46</v>
      </c>
      <c r="B25" s="3"/>
      <c r="C25" s="1">
        <v>50</v>
      </c>
      <c r="D25" s="1">
        <v>0</v>
      </c>
      <c r="E25" s="1">
        <v>100</v>
      </c>
      <c r="F25" s="1">
        <v>10</v>
      </c>
      <c r="G25" s="1">
        <v>1</v>
      </c>
      <c r="H25" s="1">
        <v>1</v>
      </c>
      <c r="I25" s="1">
        <v>1</v>
      </c>
      <c r="J25" s="1">
        <v>1</v>
      </c>
      <c r="K25" s="1">
        <v>0</v>
      </c>
      <c r="L25" s="1">
        <v>2</v>
      </c>
      <c r="M25" s="1">
        <v>1</v>
      </c>
      <c r="N25" s="1">
        <v>0</v>
      </c>
      <c r="O25" s="1">
        <v>3.8</v>
      </c>
      <c r="P25" s="1">
        <v>0.25</v>
      </c>
      <c r="Q25" s="1">
        <v>1</v>
      </c>
      <c r="R25" s="1">
        <v>0</v>
      </c>
      <c r="S25" s="1">
        <v>1.25</v>
      </c>
    </row>
    <row r="26" spans="1:22" ht="45.6" customHeight="1" x14ac:dyDescent="0.3">
      <c r="A26" s="1" t="s">
        <v>47</v>
      </c>
      <c r="B26" s="1" t="s">
        <v>155</v>
      </c>
      <c r="C26" s="1">
        <v>38</v>
      </c>
      <c r="D26" s="1">
        <v>0</v>
      </c>
      <c r="E26" s="1">
        <v>55</v>
      </c>
      <c r="F26" s="1">
        <v>10</v>
      </c>
      <c r="G26" s="1">
        <v>1</v>
      </c>
      <c r="H26" s="1">
        <v>1</v>
      </c>
      <c r="I26" s="1">
        <v>1</v>
      </c>
      <c r="J26" s="1">
        <v>0.8</v>
      </c>
      <c r="K26" s="1">
        <v>0.5</v>
      </c>
      <c r="L26" s="1">
        <v>2</v>
      </c>
      <c r="M26" s="1">
        <v>1</v>
      </c>
      <c r="N26" s="1">
        <v>0</v>
      </c>
      <c r="O26" s="1">
        <v>3.8</v>
      </c>
      <c r="P26" s="1">
        <v>0.25</v>
      </c>
      <c r="Q26" s="1">
        <v>1</v>
      </c>
      <c r="R26" s="1">
        <v>0</v>
      </c>
      <c r="S26" s="1">
        <v>5</v>
      </c>
      <c r="T26" s="1">
        <v>1</v>
      </c>
      <c r="U26" s="1">
        <v>55</v>
      </c>
      <c r="V26" s="1">
        <v>17</v>
      </c>
    </row>
    <row r="27" spans="1:22" ht="86.4" x14ac:dyDescent="0.3">
      <c r="A27" s="1" t="s">
        <v>49</v>
      </c>
      <c r="B27" s="3" t="s">
        <v>48</v>
      </c>
      <c r="C27" s="1">
        <v>45</v>
      </c>
      <c r="D27" s="1">
        <v>0</v>
      </c>
      <c r="E27" s="1">
        <v>80</v>
      </c>
      <c r="F27" s="1">
        <v>10</v>
      </c>
      <c r="G27" s="1">
        <v>1</v>
      </c>
      <c r="H27" s="1">
        <v>1</v>
      </c>
      <c r="I27" s="1">
        <v>1</v>
      </c>
      <c r="J27" s="1">
        <v>0.8</v>
      </c>
      <c r="K27" s="1">
        <v>1</v>
      </c>
      <c r="L27" s="1">
        <v>2</v>
      </c>
      <c r="M27" s="1">
        <v>1</v>
      </c>
      <c r="N27" s="1">
        <v>0</v>
      </c>
      <c r="O27" s="1">
        <v>3.8</v>
      </c>
      <c r="P27" s="1">
        <v>0.25</v>
      </c>
      <c r="Q27" s="1">
        <v>1</v>
      </c>
      <c r="R27" s="1">
        <v>0</v>
      </c>
      <c r="S27" s="1">
        <v>1.25</v>
      </c>
      <c r="T27" s="1">
        <v>1</v>
      </c>
      <c r="U27" s="1">
        <v>64</v>
      </c>
      <c r="V27" s="1">
        <v>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2A901C-E04E-43DE-8A6E-DDD681D781DD}">
  <sheetPr codeName="Sheet2"/>
  <dimension ref="A1:B18"/>
  <sheetViews>
    <sheetView workbookViewId="0">
      <selection activeCell="E16" sqref="E16"/>
    </sheetView>
  </sheetViews>
  <sheetFormatPr defaultRowHeight="14.4" x14ac:dyDescent="0.3"/>
  <cols>
    <col min="1" max="1" width="11.44140625" customWidth="1"/>
    <col min="2" max="2" width="83.33203125" customWidth="1"/>
    <col min="3" max="3" width="17.44140625" customWidth="1"/>
  </cols>
  <sheetData>
    <row r="1" spans="1:2" x14ac:dyDescent="0.3">
      <c r="A1" s="7"/>
      <c r="B1" s="7" t="s">
        <v>58</v>
      </c>
    </row>
    <row r="2" spans="1:2" x14ac:dyDescent="0.3">
      <c r="A2" s="1" t="s">
        <v>2</v>
      </c>
      <c r="B2" s="7" t="s">
        <v>157</v>
      </c>
    </row>
    <row r="3" spans="1:2" x14ac:dyDescent="0.3">
      <c r="A3" s="1" t="s">
        <v>5</v>
      </c>
      <c r="B3" s="7" t="s">
        <v>158</v>
      </c>
    </row>
    <row r="4" spans="1:2" x14ac:dyDescent="0.3">
      <c r="A4" s="1" t="s">
        <v>6</v>
      </c>
      <c r="B4" s="7" t="s">
        <v>156</v>
      </c>
    </row>
    <row r="5" spans="1:2" x14ac:dyDescent="0.3">
      <c r="A5" s="1" t="s">
        <v>7</v>
      </c>
      <c r="B5" s="7" t="s">
        <v>159</v>
      </c>
    </row>
    <row r="6" spans="1:2" x14ac:dyDescent="0.3">
      <c r="A6" s="1" t="s">
        <v>8</v>
      </c>
      <c r="B6" s="11" t="s">
        <v>172</v>
      </c>
    </row>
    <row r="7" spans="1:2" x14ac:dyDescent="0.3">
      <c r="A7" s="1" t="s">
        <v>9</v>
      </c>
      <c r="B7" s="11" t="s">
        <v>173</v>
      </c>
    </row>
    <row r="8" spans="1:2" x14ac:dyDescent="0.3">
      <c r="A8" s="1" t="s">
        <v>10</v>
      </c>
      <c r="B8" s="8" t="s">
        <v>174</v>
      </c>
    </row>
    <row r="9" spans="1:2" x14ac:dyDescent="0.3">
      <c r="A9" s="1" t="s">
        <v>11</v>
      </c>
      <c r="B9" s="7" t="s">
        <v>162</v>
      </c>
    </row>
    <row r="10" spans="1:2" x14ac:dyDescent="0.3">
      <c r="A10" s="1" t="s">
        <v>12</v>
      </c>
      <c r="B10" s="7" t="s">
        <v>163</v>
      </c>
    </row>
    <row r="11" spans="1:2" x14ac:dyDescent="0.3">
      <c r="A11" s="1" t="s">
        <v>13</v>
      </c>
      <c r="B11" s="7" t="s">
        <v>164</v>
      </c>
    </row>
    <row r="12" spans="1:2" x14ac:dyDescent="0.3">
      <c r="A12" s="1" t="s">
        <v>14</v>
      </c>
      <c r="B12" s="7" t="s">
        <v>165</v>
      </c>
    </row>
    <row r="13" spans="1:2" x14ac:dyDescent="0.3">
      <c r="A13" s="1" t="s">
        <v>15</v>
      </c>
      <c r="B13" s="7" t="s">
        <v>166</v>
      </c>
    </row>
    <row r="14" spans="1:2" x14ac:dyDescent="0.3">
      <c r="A14" s="1" t="s">
        <v>16</v>
      </c>
      <c r="B14" s="7" t="s">
        <v>167</v>
      </c>
    </row>
    <row r="15" spans="1:2" ht="28.8" x14ac:dyDescent="0.3">
      <c r="A15" s="1" t="s">
        <v>17</v>
      </c>
      <c r="B15" s="7" t="s">
        <v>168</v>
      </c>
    </row>
    <row r="16" spans="1:2" x14ac:dyDescent="0.3">
      <c r="A16" s="1" t="s">
        <v>18</v>
      </c>
      <c r="B16" s="7" t="s">
        <v>169</v>
      </c>
    </row>
    <row r="17" spans="1:2" x14ac:dyDescent="0.3">
      <c r="A17" s="1" t="s">
        <v>19</v>
      </c>
      <c r="B17" s="7" t="s">
        <v>170</v>
      </c>
    </row>
    <row r="18" spans="1:2" x14ac:dyDescent="0.3">
      <c r="A18" s="1" t="s">
        <v>20</v>
      </c>
      <c r="B18" s="7" t="s">
        <v>171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7DB8B5-5D2C-4497-B733-052439D374C4}">
  <dimension ref="A1:H20"/>
  <sheetViews>
    <sheetView workbookViewId="0">
      <selection activeCell="J10" sqref="J10"/>
    </sheetView>
  </sheetViews>
  <sheetFormatPr defaultRowHeight="14.4" x14ac:dyDescent="0.3"/>
  <cols>
    <col min="1" max="1" width="12.109375" customWidth="1"/>
    <col min="3" max="3" width="23.109375" customWidth="1"/>
    <col min="5" max="5" width="31.21875" customWidth="1"/>
  </cols>
  <sheetData>
    <row r="1" spans="1:8" x14ac:dyDescent="0.3">
      <c r="B1" t="s">
        <v>59</v>
      </c>
    </row>
    <row r="2" spans="1:8" x14ac:dyDescent="0.3">
      <c r="A2" s="7" t="s">
        <v>2</v>
      </c>
      <c r="B2">
        <v>26</v>
      </c>
    </row>
    <row r="3" spans="1:8" x14ac:dyDescent="0.3">
      <c r="A3" s="7" t="s">
        <v>6</v>
      </c>
      <c r="B3">
        <v>-0.6</v>
      </c>
    </row>
    <row r="4" spans="1:8" x14ac:dyDescent="0.3">
      <c r="A4" s="7" t="s">
        <v>56</v>
      </c>
      <c r="B4">
        <v>1</v>
      </c>
      <c r="C4" s="6" t="s">
        <v>79</v>
      </c>
      <c r="E4" t="s">
        <v>61</v>
      </c>
      <c r="F4" t="s">
        <v>68</v>
      </c>
    </row>
    <row r="5" spans="1:8" x14ac:dyDescent="0.3">
      <c r="A5" s="7" t="s">
        <v>57</v>
      </c>
      <c r="B5">
        <v>1</v>
      </c>
      <c r="C5" s="6" t="s">
        <v>55</v>
      </c>
      <c r="E5" t="s">
        <v>62</v>
      </c>
    </row>
    <row r="6" spans="1:8" x14ac:dyDescent="0.3">
      <c r="A6" s="7" t="s">
        <v>60</v>
      </c>
      <c r="B6">
        <v>1</v>
      </c>
      <c r="C6" s="8" t="s">
        <v>78</v>
      </c>
      <c r="E6" t="s">
        <v>63</v>
      </c>
      <c r="F6">
        <v>125</v>
      </c>
      <c r="G6">
        <v>250</v>
      </c>
      <c r="H6">
        <v>375</v>
      </c>
    </row>
    <row r="7" spans="1:8" x14ac:dyDescent="0.3">
      <c r="A7" s="7" t="s">
        <v>11</v>
      </c>
      <c r="B7">
        <v>0.02</v>
      </c>
      <c r="E7" t="s">
        <v>64</v>
      </c>
      <c r="F7">
        <v>105</v>
      </c>
      <c r="G7">
        <v>228</v>
      </c>
      <c r="H7">
        <v>339</v>
      </c>
    </row>
    <row r="8" spans="1:8" x14ac:dyDescent="0.3">
      <c r="A8" s="7" t="s">
        <v>12</v>
      </c>
      <c r="B8">
        <v>0.38</v>
      </c>
    </row>
    <row r="9" spans="1:8" x14ac:dyDescent="0.3">
      <c r="A9" s="7" t="s">
        <v>13</v>
      </c>
      <c r="B9">
        <v>0.05</v>
      </c>
      <c r="E9" t="s">
        <v>65</v>
      </c>
    </row>
    <row r="10" spans="1:8" x14ac:dyDescent="0.3">
      <c r="A10" s="7" t="s">
        <v>15</v>
      </c>
      <c r="B10">
        <v>0.03</v>
      </c>
      <c r="E10" t="s">
        <v>66</v>
      </c>
      <c r="F10">
        <v>12.5</v>
      </c>
    </row>
    <row r="11" spans="1:8" x14ac:dyDescent="0.3">
      <c r="A11" s="7" t="s">
        <v>16</v>
      </c>
      <c r="B11">
        <v>0.4</v>
      </c>
      <c r="E11" t="s">
        <v>67</v>
      </c>
      <c r="F11">
        <v>17</v>
      </c>
    </row>
    <row r="12" spans="1:8" x14ac:dyDescent="0.3">
      <c r="A12" s="7" t="s">
        <v>17</v>
      </c>
    </row>
    <row r="13" spans="1:8" x14ac:dyDescent="0.3">
      <c r="A13" s="1" t="s">
        <v>18</v>
      </c>
      <c r="E13" t="s">
        <v>69</v>
      </c>
    </row>
    <row r="14" spans="1:8" x14ac:dyDescent="0.3">
      <c r="A14" s="1" t="s">
        <v>20</v>
      </c>
      <c r="E14" t="s">
        <v>70</v>
      </c>
    </row>
    <row r="15" spans="1:8" x14ac:dyDescent="0.3">
      <c r="E15" t="s">
        <v>71</v>
      </c>
    </row>
    <row r="17" spans="5:5" x14ac:dyDescent="0.3">
      <c r="E17">
        <v>3.8</v>
      </c>
    </row>
    <row r="19" spans="5:5" x14ac:dyDescent="0.3">
      <c r="E19" t="s">
        <v>135</v>
      </c>
    </row>
    <row r="20" spans="5:5" x14ac:dyDescent="0.3">
      <c r="E20" t="s">
        <v>138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F4F598-B7D1-4751-B491-BD0874E7F79E}">
  <dimension ref="A1:G66"/>
  <sheetViews>
    <sheetView tabSelected="1" zoomScale="115" zoomScaleNormal="115" workbookViewId="0">
      <selection activeCell="I7" sqref="I7"/>
    </sheetView>
  </sheetViews>
  <sheetFormatPr defaultRowHeight="14.4" x14ac:dyDescent="0.3"/>
  <cols>
    <col min="1" max="1" width="7.5546875" customWidth="1"/>
    <col min="3" max="3" width="21.109375" customWidth="1"/>
    <col min="4" max="4" width="19.88671875" customWidth="1"/>
    <col min="5" max="5" width="14.21875" customWidth="1"/>
  </cols>
  <sheetData>
    <row r="1" spans="1:7" x14ac:dyDescent="0.3">
      <c r="B1" t="s">
        <v>84</v>
      </c>
      <c r="C1" t="s">
        <v>85</v>
      </c>
      <c r="D1" t="s">
        <v>58</v>
      </c>
      <c r="E1" t="s">
        <v>131</v>
      </c>
      <c r="F1" t="s">
        <v>152</v>
      </c>
      <c r="G1" t="s">
        <v>160</v>
      </c>
    </row>
    <row r="2" spans="1:7" ht="73.2" customHeight="1" x14ac:dyDescent="0.3">
      <c r="A2" t="e" vm="1">
        <v>#VALUE!</v>
      </c>
      <c r="B2">
        <v>2866</v>
      </c>
      <c r="C2" t="s">
        <v>176</v>
      </c>
      <c r="D2" s="9" t="s">
        <v>177</v>
      </c>
      <c r="E2" t="str">
        <f>IF(COUNTIF($B$2:$B$1000, B2)&gt;1, "Duplicate", "Unique")</f>
        <v>Unique</v>
      </c>
      <c r="G2" t="s">
        <v>161</v>
      </c>
    </row>
    <row r="3" spans="1:7" ht="72" customHeight="1" x14ac:dyDescent="0.3">
      <c r="A3" t="e" vm="2">
        <v>#VALUE!</v>
      </c>
      <c r="B3">
        <v>2869</v>
      </c>
      <c r="C3" t="s">
        <v>178</v>
      </c>
      <c r="D3" s="9" t="s">
        <v>179</v>
      </c>
      <c r="E3" t="str">
        <f t="shared" ref="E3:E66" si="0">IF(COUNTIF($B$2:$B$1000, B3)&gt;1, "Duplicate", "Unique")</f>
        <v>Unique</v>
      </c>
    </row>
    <row r="4" spans="1:7" ht="88.8" customHeight="1" x14ac:dyDescent="0.3">
      <c r="A4" t="e" vm="3">
        <v>#VALUE!</v>
      </c>
      <c r="B4">
        <v>2478</v>
      </c>
      <c r="C4" t="s">
        <v>180</v>
      </c>
      <c r="D4" s="9" t="s">
        <v>181</v>
      </c>
      <c r="E4" t="str">
        <f t="shared" si="0"/>
        <v>Unique</v>
      </c>
    </row>
    <row r="5" spans="1:7" ht="40.799999999999997" customHeight="1" x14ac:dyDescent="0.3">
      <c r="A5" t="e" vm="4">
        <v>#VALUE!</v>
      </c>
      <c r="B5">
        <v>2313</v>
      </c>
      <c r="C5" t="s">
        <v>182</v>
      </c>
      <c r="D5" s="9" t="s">
        <v>183</v>
      </c>
      <c r="E5" t="str">
        <f t="shared" si="0"/>
        <v>Unique</v>
      </c>
    </row>
    <row r="6" spans="1:7" ht="40.799999999999997" customHeight="1" x14ac:dyDescent="0.3">
      <c r="A6" t="e" vm="5">
        <v>#VALUE!</v>
      </c>
      <c r="B6">
        <v>2835</v>
      </c>
      <c r="C6" t="s">
        <v>184</v>
      </c>
      <c r="D6" s="9" t="s">
        <v>185</v>
      </c>
      <c r="E6" t="str">
        <f t="shared" si="0"/>
        <v>Unique</v>
      </c>
    </row>
    <row r="7" spans="1:7" ht="72" customHeight="1" x14ac:dyDescent="0.3">
      <c r="A7" t="e" vm="6">
        <v>#VALUE!</v>
      </c>
      <c r="B7">
        <v>1633</v>
      </c>
      <c r="C7" t="s">
        <v>186</v>
      </c>
      <c r="D7" s="9" t="s">
        <v>194</v>
      </c>
      <c r="E7" t="str">
        <f t="shared" si="0"/>
        <v>Unique</v>
      </c>
    </row>
    <row r="8" spans="1:7" ht="40.799999999999997" customHeight="1" x14ac:dyDescent="0.3">
      <c r="A8" t="e" vm="7">
        <v>#VALUE!</v>
      </c>
      <c r="B8">
        <v>2334</v>
      </c>
      <c r="C8" t="s">
        <v>187</v>
      </c>
      <c r="D8" s="9" t="s">
        <v>188</v>
      </c>
      <c r="E8" t="str">
        <f t="shared" si="0"/>
        <v>Unique</v>
      </c>
    </row>
    <row r="9" spans="1:7" ht="60" customHeight="1" x14ac:dyDescent="0.3">
      <c r="A9" t="e" vm="8">
        <v>#VALUE!</v>
      </c>
      <c r="B9">
        <v>2339</v>
      </c>
      <c r="C9" t="s">
        <v>189</v>
      </c>
      <c r="D9" s="9" t="s">
        <v>193</v>
      </c>
      <c r="E9" t="str">
        <f t="shared" si="0"/>
        <v>Unique</v>
      </c>
    </row>
    <row r="10" spans="1:7" ht="93.6" customHeight="1" x14ac:dyDescent="0.3">
      <c r="A10" t="e" vm="9">
        <v>#VALUE!</v>
      </c>
      <c r="B10">
        <v>821</v>
      </c>
      <c r="C10" t="s">
        <v>190</v>
      </c>
      <c r="D10" s="10" t="s">
        <v>154</v>
      </c>
      <c r="E10" t="str">
        <f t="shared" si="0"/>
        <v>Unique</v>
      </c>
    </row>
    <row r="11" spans="1:7" ht="85.8" customHeight="1" x14ac:dyDescent="0.3">
      <c r="A11" t="e" vm="10">
        <v>#VALUE!</v>
      </c>
      <c r="B11">
        <v>823</v>
      </c>
      <c r="C11" t="s">
        <v>191</v>
      </c>
      <c r="D11" s="12" t="s">
        <v>192</v>
      </c>
      <c r="E11" t="str">
        <f t="shared" si="0"/>
        <v>Unique</v>
      </c>
    </row>
    <row r="12" spans="1:7" ht="40.799999999999997" customHeight="1" x14ac:dyDescent="0.3">
      <c r="A12" t="e" vm="11">
        <v>#VALUE!</v>
      </c>
      <c r="B12">
        <v>2137</v>
      </c>
      <c r="C12" t="s">
        <v>142</v>
      </c>
      <c r="D12" s="6" t="s">
        <v>133</v>
      </c>
      <c r="E12" t="str">
        <f t="shared" si="0"/>
        <v>Unique</v>
      </c>
    </row>
    <row r="13" spans="1:7" ht="88.2" customHeight="1" x14ac:dyDescent="0.3">
      <c r="A13" t="e" vm="12">
        <v>#VALUE!</v>
      </c>
      <c r="B13">
        <v>2143</v>
      </c>
      <c r="C13" t="s">
        <v>143</v>
      </c>
      <c r="D13" s="9" t="s">
        <v>175</v>
      </c>
      <c r="E13" t="str">
        <f t="shared" si="0"/>
        <v>Unique</v>
      </c>
    </row>
    <row r="14" spans="1:7" ht="58.2" customHeight="1" x14ac:dyDescent="0.3">
      <c r="A14" t="e" vm="13">
        <v>#VALUE!</v>
      </c>
      <c r="B14">
        <v>2197</v>
      </c>
      <c r="C14" t="s">
        <v>144</v>
      </c>
      <c r="D14" s="9" t="s">
        <v>134</v>
      </c>
      <c r="E14" t="str">
        <f t="shared" si="0"/>
        <v>Unique</v>
      </c>
    </row>
    <row r="15" spans="1:7" ht="71.400000000000006" customHeight="1" x14ac:dyDescent="0.3">
      <c r="A15" t="e" vm="14">
        <v>#VALUE!</v>
      </c>
      <c r="B15">
        <v>2214</v>
      </c>
      <c r="C15" t="s">
        <v>145</v>
      </c>
      <c r="D15" s="9" t="s">
        <v>136</v>
      </c>
      <c r="E15" t="str">
        <f t="shared" si="0"/>
        <v>Unique</v>
      </c>
    </row>
    <row r="16" spans="1:7" ht="88.8" customHeight="1" x14ac:dyDescent="0.3">
      <c r="A16" t="e" vm="15">
        <v>#VALUE!</v>
      </c>
      <c r="B16">
        <v>2218</v>
      </c>
      <c r="C16" t="s">
        <v>146</v>
      </c>
      <c r="D16" s="9" t="s">
        <v>137</v>
      </c>
      <c r="E16" t="str">
        <f t="shared" si="0"/>
        <v>Unique</v>
      </c>
    </row>
    <row r="17" spans="1:5" ht="40.799999999999997" customHeight="1" x14ac:dyDescent="0.3">
      <c r="A17" t="e" vm="16">
        <v>#VALUE!</v>
      </c>
      <c r="B17">
        <v>2114</v>
      </c>
      <c r="C17" t="s">
        <v>147</v>
      </c>
      <c r="D17" s="9" t="s">
        <v>139</v>
      </c>
      <c r="E17" t="str">
        <f t="shared" si="0"/>
        <v>Unique</v>
      </c>
    </row>
    <row r="18" spans="1:5" ht="72.599999999999994" customHeight="1" x14ac:dyDescent="0.3">
      <c r="A18" t="e" vm="17">
        <v>#VALUE!</v>
      </c>
      <c r="B18">
        <v>2220</v>
      </c>
      <c r="C18" t="s">
        <v>148</v>
      </c>
      <c r="D18" s="9" t="s">
        <v>140</v>
      </c>
      <c r="E18" t="str">
        <f t="shared" si="0"/>
        <v>Unique</v>
      </c>
    </row>
    <row r="19" spans="1:5" ht="57.6" customHeight="1" x14ac:dyDescent="0.3">
      <c r="A19" t="e" vm="18">
        <v>#VALUE!</v>
      </c>
      <c r="B19">
        <v>2234</v>
      </c>
      <c r="C19" t="s">
        <v>149</v>
      </c>
      <c r="D19" s="9" t="s">
        <v>141</v>
      </c>
      <c r="E19" t="str">
        <f t="shared" si="0"/>
        <v>Unique</v>
      </c>
    </row>
    <row r="20" spans="1:5" ht="40.799999999999997" customHeight="1" x14ac:dyDescent="0.3">
      <c r="A20" t="s">
        <v>132</v>
      </c>
      <c r="B20" t="s">
        <v>132</v>
      </c>
      <c r="C20" t="s">
        <v>88</v>
      </c>
      <c r="E20" t="str">
        <f t="shared" si="0"/>
        <v>Unique</v>
      </c>
    </row>
    <row r="21" spans="1:5" ht="40.799999999999997" customHeight="1" x14ac:dyDescent="0.3">
      <c r="C21" t="s">
        <v>89</v>
      </c>
      <c r="E21" t="str">
        <f t="shared" si="0"/>
        <v>Unique</v>
      </c>
    </row>
    <row r="22" spans="1:5" ht="40.799999999999997" customHeight="1" x14ac:dyDescent="0.3">
      <c r="A22" t="e" vm="19">
        <v>#VALUE!</v>
      </c>
      <c r="B22">
        <v>2238</v>
      </c>
      <c r="C22" t="s">
        <v>86</v>
      </c>
      <c r="E22" t="str">
        <f t="shared" si="0"/>
        <v>Unique</v>
      </c>
    </row>
    <row r="23" spans="1:5" ht="40.799999999999997" customHeight="1" x14ac:dyDescent="0.3">
      <c r="A23" t="e" vm="20">
        <v>#VALUE!</v>
      </c>
      <c r="B23">
        <v>2243</v>
      </c>
      <c r="C23" t="s">
        <v>90</v>
      </c>
      <c r="E23" t="str">
        <f t="shared" si="0"/>
        <v>Unique</v>
      </c>
    </row>
    <row r="24" spans="1:5" ht="40.799999999999997" customHeight="1" x14ac:dyDescent="0.3">
      <c r="A24" t="e" vm="21">
        <v>#VALUE!</v>
      </c>
      <c r="B24">
        <v>2264</v>
      </c>
      <c r="C24" t="s">
        <v>91</v>
      </c>
      <c r="E24" t="str">
        <f t="shared" si="0"/>
        <v>Unique</v>
      </c>
    </row>
    <row r="25" spans="1:5" ht="40.799999999999997" customHeight="1" x14ac:dyDescent="0.3">
      <c r="A25" t="e" vm="22">
        <v>#VALUE!</v>
      </c>
      <c r="B25">
        <v>2265</v>
      </c>
      <c r="C25" t="s">
        <v>92</v>
      </c>
      <c r="E25" t="str">
        <f t="shared" si="0"/>
        <v>Unique</v>
      </c>
    </row>
    <row r="26" spans="1:5" ht="40.799999999999997" customHeight="1" x14ac:dyDescent="0.3">
      <c r="A26" t="e" vm="23">
        <v>#VALUE!</v>
      </c>
      <c r="B26">
        <v>2267</v>
      </c>
      <c r="C26" t="s">
        <v>93</v>
      </c>
      <c r="E26" t="str">
        <f t="shared" si="0"/>
        <v>Unique</v>
      </c>
    </row>
    <row r="27" spans="1:5" ht="40.799999999999997" customHeight="1" x14ac:dyDescent="0.3">
      <c r="A27" t="e" vm="24">
        <v>#VALUE!</v>
      </c>
      <c r="B27">
        <v>2771</v>
      </c>
      <c r="C27" t="s">
        <v>94</v>
      </c>
      <c r="E27" t="str">
        <f t="shared" si="0"/>
        <v>Unique</v>
      </c>
    </row>
    <row r="28" spans="1:5" ht="40.799999999999997" customHeight="1" x14ac:dyDescent="0.3">
      <c r="A28" t="e" vm="25">
        <v>#VALUE!</v>
      </c>
      <c r="B28">
        <v>2772</v>
      </c>
      <c r="C28" t="s">
        <v>95</v>
      </c>
      <c r="E28" t="str">
        <f t="shared" si="0"/>
        <v>Unique</v>
      </c>
    </row>
    <row r="29" spans="1:5" ht="40.799999999999997" customHeight="1" x14ac:dyDescent="0.3">
      <c r="C29" t="s">
        <v>96</v>
      </c>
      <c r="E29" t="str">
        <f t="shared" si="0"/>
        <v>Unique</v>
      </c>
    </row>
    <row r="30" spans="1:5" ht="40.799999999999997" customHeight="1" x14ac:dyDescent="0.3">
      <c r="C30" t="s">
        <v>97</v>
      </c>
      <c r="E30" t="str">
        <f t="shared" si="0"/>
        <v>Unique</v>
      </c>
    </row>
    <row r="31" spans="1:5" ht="40.799999999999997" customHeight="1" x14ac:dyDescent="0.3">
      <c r="A31" t="e" vm="26">
        <v>#VALUE!</v>
      </c>
      <c r="B31">
        <v>2308</v>
      </c>
      <c r="C31" t="s">
        <v>98</v>
      </c>
      <c r="E31" t="str">
        <f t="shared" si="0"/>
        <v>Unique</v>
      </c>
    </row>
    <row r="32" spans="1:5" ht="40.799999999999997" customHeight="1" x14ac:dyDescent="0.3">
      <c r="A32" t="e" vm="27">
        <v>#VALUE!</v>
      </c>
      <c r="B32">
        <v>2312</v>
      </c>
      <c r="C32" t="s">
        <v>87</v>
      </c>
      <c r="E32" t="str">
        <f t="shared" si="0"/>
        <v>Unique</v>
      </c>
    </row>
    <row r="33" spans="1:5" ht="40.799999999999997" customHeight="1" x14ac:dyDescent="0.3">
      <c r="A33" t="e" vm="28">
        <v>#VALUE!</v>
      </c>
      <c r="B33">
        <v>2305</v>
      </c>
      <c r="C33" t="s">
        <v>99</v>
      </c>
      <c r="E33" t="str">
        <f t="shared" si="0"/>
        <v>Unique</v>
      </c>
    </row>
    <row r="34" spans="1:5" ht="40.799999999999997" customHeight="1" x14ac:dyDescent="0.3">
      <c r="A34" t="e" vm="29">
        <v>#VALUE!</v>
      </c>
      <c r="B34">
        <v>2309</v>
      </c>
      <c r="C34" t="s">
        <v>100</v>
      </c>
      <c r="E34" t="str">
        <f t="shared" si="0"/>
        <v>Unique</v>
      </c>
    </row>
    <row r="35" spans="1:5" ht="40.799999999999997" customHeight="1" x14ac:dyDescent="0.3">
      <c r="A35" t="e" vm="30">
        <v>#VALUE!</v>
      </c>
      <c r="B35">
        <v>2287</v>
      </c>
      <c r="C35" t="s">
        <v>102</v>
      </c>
      <c r="E35" t="str">
        <f t="shared" si="0"/>
        <v>Unique</v>
      </c>
    </row>
    <row r="36" spans="1:5" ht="40.799999999999997" customHeight="1" x14ac:dyDescent="0.3">
      <c r="A36" t="e" vm="31">
        <v>#VALUE!</v>
      </c>
      <c r="B36">
        <v>2317</v>
      </c>
      <c r="C36" t="s">
        <v>103</v>
      </c>
      <c r="E36" t="str">
        <f t="shared" si="0"/>
        <v>Unique</v>
      </c>
    </row>
    <row r="37" spans="1:5" ht="40.799999999999997" customHeight="1" x14ac:dyDescent="0.3">
      <c r="C37" t="s">
        <v>104</v>
      </c>
      <c r="E37" t="str">
        <f t="shared" si="0"/>
        <v>Unique</v>
      </c>
    </row>
    <row r="38" spans="1:5" ht="40.799999999999997" customHeight="1" x14ac:dyDescent="0.3">
      <c r="C38" t="s">
        <v>105</v>
      </c>
      <c r="E38" t="str">
        <f t="shared" si="0"/>
        <v>Unique</v>
      </c>
    </row>
    <row r="39" spans="1:5" ht="40.799999999999997" customHeight="1" x14ac:dyDescent="0.3">
      <c r="A39" t="e" vm="32">
        <v>#VALUE!</v>
      </c>
      <c r="B39">
        <v>2337</v>
      </c>
      <c r="C39" t="s">
        <v>106</v>
      </c>
      <c r="E39" t="str">
        <f t="shared" si="0"/>
        <v>Unique</v>
      </c>
    </row>
    <row r="40" spans="1:5" ht="40.799999999999997" customHeight="1" x14ac:dyDescent="0.3">
      <c r="A40" t="e" vm="33">
        <v>#VALUE!</v>
      </c>
      <c r="B40">
        <v>2347</v>
      </c>
      <c r="C40" t="s">
        <v>107</v>
      </c>
      <c r="E40" t="str">
        <f t="shared" si="0"/>
        <v>Unique</v>
      </c>
    </row>
    <row r="41" spans="1:5" ht="40.799999999999997" customHeight="1" x14ac:dyDescent="0.3">
      <c r="A41" t="e" vm="34">
        <v>#VALUE!</v>
      </c>
      <c r="B41">
        <v>2346</v>
      </c>
      <c r="C41" t="s">
        <v>108</v>
      </c>
      <c r="E41" t="str">
        <f t="shared" si="0"/>
        <v>Unique</v>
      </c>
    </row>
    <row r="42" spans="1:5" ht="40.799999999999997" customHeight="1" x14ac:dyDescent="0.3">
      <c r="A42" t="e" vm="35">
        <v>#VALUE!</v>
      </c>
      <c r="B42">
        <v>2325</v>
      </c>
      <c r="C42" t="s">
        <v>109</v>
      </c>
      <c r="E42" t="str">
        <f t="shared" si="0"/>
        <v>Unique</v>
      </c>
    </row>
    <row r="43" spans="1:5" ht="40.799999999999997" customHeight="1" x14ac:dyDescent="0.3">
      <c r="A43" t="e" vm="36">
        <v>#VALUE!</v>
      </c>
      <c r="B43">
        <v>2330</v>
      </c>
      <c r="C43" t="s">
        <v>110</v>
      </c>
      <c r="E43" t="str">
        <f t="shared" si="0"/>
        <v>Unique</v>
      </c>
    </row>
    <row r="44" spans="1:5" ht="40.799999999999997" customHeight="1" x14ac:dyDescent="0.3">
      <c r="C44" t="s">
        <v>111</v>
      </c>
      <c r="E44" t="str">
        <f t="shared" si="0"/>
        <v>Unique</v>
      </c>
    </row>
    <row r="45" spans="1:5" ht="40.799999999999997" customHeight="1" x14ac:dyDescent="0.3">
      <c r="C45" t="s">
        <v>112</v>
      </c>
      <c r="E45" t="str">
        <f t="shared" si="0"/>
        <v>Unique</v>
      </c>
    </row>
    <row r="46" spans="1:5" ht="40.799999999999997" customHeight="1" x14ac:dyDescent="0.3">
      <c r="A46" t="e" vm="37">
        <v>#VALUE!</v>
      </c>
      <c r="B46">
        <v>2358</v>
      </c>
      <c r="C46" t="s">
        <v>113</v>
      </c>
      <c r="E46" t="str">
        <f t="shared" si="0"/>
        <v>Unique</v>
      </c>
    </row>
    <row r="47" spans="1:5" ht="40.799999999999997" customHeight="1" x14ac:dyDescent="0.3">
      <c r="A47" t="e" vm="38">
        <v>#VALUE!</v>
      </c>
      <c r="B47">
        <v>2497</v>
      </c>
      <c r="C47" t="s">
        <v>114</v>
      </c>
      <c r="E47" t="str">
        <f t="shared" si="0"/>
        <v>Unique</v>
      </c>
    </row>
    <row r="48" spans="1:5" ht="40.799999999999997" customHeight="1" x14ac:dyDescent="0.3">
      <c r="A48" t="e" vm="39">
        <v>#VALUE!</v>
      </c>
      <c r="B48">
        <v>2524</v>
      </c>
      <c r="C48" t="s">
        <v>115</v>
      </c>
      <c r="E48" t="str">
        <f t="shared" si="0"/>
        <v>Unique</v>
      </c>
    </row>
    <row r="49" spans="1:5" ht="40.799999999999997" customHeight="1" x14ac:dyDescent="0.3">
      <c r="A49" t="e" vm="40">
        <v>#VALUE!</v>
      </c>
      <c r="B49">
        <v>2621</v>
      </c>
      <c r="C49" t="s">
        <v>116</v>
      </c>
      <c r="E49" t="str">
        <f t="shared" si="0"/>
        <v>Unique</v>
      </c>
    </row>
    <row r="50" spans="1:5" ht="40.799999999999997" customHeight="1" x14ac:dyDescent="0.3">
      <c r="C50" t="s">
        <v>117</v>
      </c>
      <c r="E50" t="str">
        <f t="shared" si="0"/>
        <v>Unique</v>
      </c>
    </row>
    <row r="51" spans="1:5" ht="40.799999999999997" customHeight="1" x14ac:dyDescent="0.3">
      <c r="C51" t="s">
        <v>111</v>
      </c>
      <c r="E51" t="str">
        <f t="shared" si="0"/>
        <v>Unique</v>
      </c>
    </row>
    <row r="52" spans="1:5" ht="40.799999999999997" customHeight="1" x14ac:dyDescent="0.3">
      <c r="A52" t="e" vm="41">
        <v>#VALUE!</v>
      </c>
      <c r="B52">
        <v>2618</v>
      </c>
      <c r="C52" t="s">
        <v>118</v>
      </c>
      <c r="E52" t="str">
        <f t="shared" si="0"/>
        <v>Unique</v>
      </c>
    </row>
    <row r="53" spans="1:5" ht="40.799999999999997" customHeight="1" x14ac:dyDescent="0.3">
      <c r="A53" t="e" vm="42">
        <v>#VALUE!</v>
      </c>
      <c r="B53">
        <v>2620</v>
      </c>
      <c r="C53" t="s">
        <v>119</v>
      </c>
      <c r="E53" t="str">
        <f t="shared" si="0"/>
        <v>Unique</v>
      </c>
    </row>
    <row r="54" spans="1:5" ht="40.799999999999997" customHeight="1" x14ac:dyDescent="0.3">
      <c r="A54" t="e" vm="43">
        <v>#VALUE!</v>
      </c>
      <c r="B54">
        <v>2630</v>
      </c>
      <c r="C54" t="s">
        <v>120</v>
      </c>
      <c r="E54" t="str">
        <f t="shared" si="0"/>
        <v>Unique</v>
      </c>
    </row>
    <row r="55" spans="1:5" ht="40.799999999999997" customHeight="1" x14ac:dyDescent="0.3">
      <c r="C55" t="s">
        <v>121</v>
      </c>
      <c r="E55" t="str">
        <f t="shared" si="0"/>
        <v>Unique</v>
      </c>
    </row>
    <row r="56" spans="1:5" ht="40.799999999999997" customHeight="1" x14ac:dyDescent="0.3">
      <c r="C56" t="s">
        <v>122</v>
      </c>
      <c r="E56" t="str">
        <f t="shared" si="0"/>
        <v>Unique</v>
      </c>
    </row>
    <row r="57" spans="1:5" ht="40.799999999999997" customHeight="1" x14ac:dyDescent="0.3">
      <c r="A57" t="e" vm="44">
        <v>#VALUE!</v>
      </c>
      <c r="B57">
        <v>2634</v>
      </c>
      <c r="C57" t="s">
        <v>123</v>
      </c>
      <c r="E57" t="str">
        <f t="shared" si="0"/>
        <v>Unique</v>
      </c>
    </row>
    <row r="58" spans="1:5" ht="40.799999999999997" customHeight="1" x14ac:dyDescent="0.3">
      <c r="A58" t="e" vm="45">
        <v>#VALUE!</v>
      </c>
      <c r="B58">
        <v>2848</v>
      </c>
      <c r="C58" t="s">
        <v>101</v>
      </c>
      <c r="E58" t="str">
        <f t="shared" si="0"/>
        <v>Unique</v>
      </c>
    </row>
    <row r="59" spans="1:5" ht="40.799999999999997" customHeight="1" x14ac:dyDescent="0.3">
      <c r="C59" t="s">
        <v>124</v>
      </c>
      <c r="E59" t="str">
        <f t="shared" si="0"/>
        <v>Unique</v>
      </c>
    </row>
    <row r="60" spans="1:5" ht="40.799999999999997" customHeight="1" x14ac:dyDescent="0.3">
      <c r="C60" t="s">
        <v>125</v>
      </c>
      <c r="E60" t="str">
        <f t="shared" si="0"/>
        <v>Unique</v>
      </c>
    </row>
    <row r="61" spans="1:5" ht="40.799999999999997" customHeight="1" x14ac:dyDescent="0.3">
      <c r="A61" t="e" vm="46">
        <v>#VALUE!</v>
      </c>
      <c r="B61">
        <v>2888</v>
      </c>
      <c r="C61" t="s">
        <v>126</v>
      </c>
      <c r="E61" t="str">
        <f t="shared" si="0"/>
        <v>Unique</v>
      </c>
    </row>
    <row r="62" spans="1:5" ht="40.799999999999997" customHeight="1" x14ac:dyDescent="0.3">
      <c r="C62" t="s">
        <v>127</v>
      </c>
      <c r="E62" t="str">
        <f t="shared" si="0"/>
        <v>Unique</v>
      </c>
    </row>
    <row r="63" spans="1:5" ht="40.799999999999997" customHeight="1" x14ac:dyDescent="0.3">
      <c r="C63" t="s">
        <v>128</v>
      </c>
      <c r="E63" t="str">
        <f t="shared" si="0"/>
        <v>Unique</v>
      </c>
    </row>
    <row r="64" spans="1:5" ht="40.799999999999997" customHeight="1" x14ac:dyDescent="0.3">
      <c r="B64">
        <v>4491</v>
      </c>
      <c r="C64" t="s">
        <v>129</v>
      </c>
      <c r="E64" t="str">
        <f t="shared" si="0"/>
        <v>Unique</v>
      </c>
    </row>
    <row r="65" spans="2:5" ht="40.799999999999997" customHeight="1" x14ac:dyDescent="0.3">
      <c r="B65">
        <v>3184</v>
      </c>
      <c r="C65" t="s">
        <v>129</v>
      </c>
      <c r="E65" t="str">
        <f t="shared" si="0"/>
        <v>Unique</v>
      </c>
    </row>
    <row r="66" spans="2:5" ht="40.799999999999997" customHeight="1" x14ac:dyDescent="0.3">
      <c r="B66">
        <v>3182</v>
      </c>
      <c r="C66" t="s">
        <v>130</v>
      </c>
      <c r="E66" t="str">
        <f t="shared" si="0"/>
        <v>Unique</v>
      </c>
    </row>
  </sheetData>
  <dataValidations count="1">
    <dataValidation type="list" allowBlank="1" showInputMessage="1" showErrorMessage="1" sqref="G1:G1048576" xr:uid="{2F7D368F-A480-453D-970E-4641C6C200CB}">
      <formula1>"Normal,Rare,Unique,Legendary"</formula1>
    </dataValidation>
  </dataValidation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29346-E2F5-4BEC-BD58-EECCA055B5BD}">
  <dimension ref="B1:D2"/>
  <sheetViews>
    <sheetView workbookViewId="0">
      <selection activeCell="E15" sqref="E15"/>
    </sheetView>
  </sheetViews>
  <sheetFormatPr defaultRowHeight="14.4" x14ac:dyDescent="0.3"/>
  <cols>
    <col min="3" max="3" width="18.5546875" customWidth="1"/>
    <col min="4" max="4" width="12.109375" customWidth="1"/>
  </cols>
  <sheetData>
    <row r="1" spans="2:4" x14ac:dyDescent="0.3">
      <c r="B1" t="s">
        <v>84</v>
      </c>
      <c r="C1" t="s">
        <v>85</v>
      </c>
      <c r="D1" t="s">
        <v>58</v>
      </c>
    </row>
    <row r="2" spans="2:4" x14ac:dyDescent="0.3">
      <c r="B2">
        <v>4331</v>
      </c>
      <c r="C2" t="s">
        <v>153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CHAMPION</vt:lpstr>
      <vt:lpstr>STAT</vt:lpstr>
      <vt:lpstr>EXPERIMENT</vt:lpstr>
      <vt:lpstr>ITEM</vt:lpstr>
      <vt:lpstr>RELIC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LordOfGrass</dc:creator>
  <cp:lastModifiedBy>Ngo Tuan Hung 20207608</cp:lastModifiedBy>
  <dcterms:created xsi:type="dcterms:W3CDTF">2015-06-05T18:17:20Z</dcterms:created>
  <dcterms:modified xsi:type="dcterms:W3CDTF">2026-01-24T11:05:13Z</dcterms:modified>
</cp:coreProperties>
</file>